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1865" tabRatio="500"/>
  </x:bookViews>
  <x:sheets>
    <x:sheet name="Sheet1" sheetId="1" r:id="rId4"/>
    <x:sheet name="Sheet2" sheetId="2" r:id="rId5"/>
  </x:sheets>
  <x:definedNames>
    <x:definedName name="_xlnm._FilterDatabase" localSheetId="0" hidden="1">Sheet1!$H$1:$J$68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<x:sst xmlns:r="http://schemas.openxmlformats.org/officeDocument/2006/relationships" xmlns:c="http://schemas.openxmlformats.org/drawingml/2006/chart" xmlns:x="http://schemas.openxmlformats.org/spreadsheetml/2006/main" count="800" uniqueCount="119">
  <x:si>
    <x:t>경영자</x:t>
  </x:si>
  <x:si>
    <x:t>직업</x:t>
  </x:si>
  <x:si>
    <x:t>검사</x:t>
  </x:si>
  <x:si>
    <x:t>정치인</x:t>
  </x:si>
  <x:si>
    <x:t>연예인</x:t>
  </x:si>
  <x:si>
    <x:t>배우</x:t>
  </x:si>
  <x:si>
    <x:t>사교성</x:t>
  </x:si>
  <x:si>
    <x:t>화가</x:t>
  </x:si>
  <x:si>
    <x:t>의학</x:t>
  </x:si>
  <x:si>
    <x:t>가수</x:t>
  </x:si>
  <x:si>
    <x:t>군인</x:t>
  </x:si>
  <x:si>
    <x:t>생산직</x:t>
  </x:si>
  <x:si>
    <x:t>쉐프</x:t>
  </x:si>
  <x:si>
    <x:t>디자인</x:t>
  </x:si>
  <x:si>
    <x:t>개발자</x:t>
  </x:si>
  <x:si>
    <x:t>기억력</x:t>
  </x:si>
  <x:si>
    <x:t>금융</x:t>
  </x:si>
  <x:si>
    <x:t>농부</x:t>
  </x:si>
  <x:si>
    <x:t>과학</x:t>
  </x:si>
  <x:si>
    <x:t>기술자</x:t>
  </x:si>
  <x:si>
    <x:t>변호사</x:t>
  </x:si>
  <x:si>
    <x:t>소방관</x:t>
  </x:si>
  <x:si>
    <x:t>작가</x:t>
  </x:si>
  <x:si>
    <x:t>경찰</x:t>
  </x:si>
  <x:si>
    <x:t>재능</x:t>
  </x:si>
  <x:si>
    <x:t>스탯</x:t>
  </x:si>
  <x:si>
    <x:t>격투</x:t>
  </x:si>
  <x:si>
    <x:t>필력</x:t>
  </x:si>
  <x:si>
    <x:t>외교관</x:t>
  </x:si>
  <x:si>
    <x:t>연기력</x:t>
  </x:si>
  <x:si>
    <x:t>운동 능력</x:t>
  </x:si>
  <x:si>
    <x:t>격투기 선수</x:t>
  </x:si>
  <x:si>
    <x:t>보디빌더</x:t>
  </x:si>
  <x:si>
    <x:t>소방지식</x:t>
  </x:si>
  <x:si>
    <x:t>요리실력</x:t>
  </x:si>
  <x:si>
    <x:t>노가다 기술</x:t>
  </x:si>
  <x:si>
    <x:t>컴퓨터과학</x:t>
  </x:si>
  <x:si>
    <x:t>동기부여</x:t>
  </x:si>
  <x:si>
    <x:t>일용직노동자</x:t>
  </x:si>
  <x:si>
    <x:t>논리적 사고</x:t>
  </x:si>
  <x:si>
    <x:t>일하는 기술</x:t>
  </x:si>
  <x:si>
    <x:t>군사지식</x:t>
  </x:si>
  <x:si>
    <x:t>경찰지식</x:t>
  </x:si>
  <x:si>
    <x:t>고급 외국어</x:t>
  </x:si>
  <x:si>
    <x:t>예능감각</x:t>
  </x:si>
  <x:si>
    <x:t>농사기술</x:t>
  </x:si>
  <x:si>
    <x:t>수리 능력</x:t>
  </x:si>
  <x:si>
    <x:t>사무 능력</x:t>
  </x:si>
  <x:si>
    <x:t>금융투자가</x:t>
  </x:si>
  <x:si>
    <x:t>육상 선수</x:t>
  </x:si>
  <x:si>
    <x:t>언어 능력</x:t>
  </x:si>
  <x:si>
    <x:t>교수-외교학과</x:t>
  </x:si>
  <x:si>
    <x:t>교수-경영학과</x:t>
  </x:si>
  <x:si>
    <x:t>교수-조리학과</x:t>
  </x:si>
  <x:si>
    <x:t>교수-의과대학</x:t>
  </x:si>
  <x:si>
    <x:t>연구자-법학과</x:t>
  </x:si>
  <x:si>
    <x:t>교수-법학과</x:t>
  </x:si>
  <x:si>
    <x:t>교수-미술대학</x:t>
  </x:si>
  <x:si>
    <x:t>교수-군사학과</x:t>
  </x:si>
  <x:si>
    <x:t>공무원-7급</x:t>
  </x:si>
  <x:si>
    <x:t>공무원-9급</x:t>
  </x:si>
  <x:si>
    <x:t>교수-행정학과</x:t>
  </x:si>
  <x:si>
    <x:t>교수-금융학과</x:t>
  </x:si>
  <x:si>
    <x:t>교수-경찰학과</x:t>
  </x:si>
  <x:si>
    <x:t>교수-체육대학</x:t>
  </x:si>
  <x:si>
    <x:t>공무원-5급</x:t>
  </x:si>
  <x:si>
    <x:t>연구자-소방안전학과</x:t>
  </x:si>
  <x:si>
    <x:t>연구자-경영학과</x:t>
  </x:si>
  <x:si>
    <x:t>연구자-사무행정학과</x:t>
  </x:si>
  <x:si>
    <x:t>연구자-미술대학</x:t>
  </x:si>
  <x:si>
    <x:t>연구자-디자인학과</x:t>
  </x:si>
  <x:si>
    <x:t>연구자-금융학과</x:t>
  </x:si>
  <x:si>
    <x:t>연구자-정치외교학과</x:t>
  </x:si>
  <x:si>
    <x:t>교수-산업공학과</x:t>
  </x:si>
  <x:si>
    <x:t>교수-국어국문학과</x:t>
  </x:si>
  <x:si>
    <x:t>교수-소방안전학과</x:t>
  </x:si>
  <x:si>
    <x:t>연구자-조리학과</x:t>
  </x:si>
  <x:si>
    <x:t>교수-사무행정학과</x:t>
  </x:si>
  <x:si>
    <x:t>연구자-의과대학</x:t>
  </x:si>
  <x:si>
    <x:t>교수-디자인학과</x:t>
  </x:si>
  <x:si>
    <x:t>연구자-체육대학</x:t>
  </x:si>
  <x:si>
    <x:t>교수-컴퓨터공학과</x:t>
  </x:si>
  <x:si>
    <x:t>연구자-경찰학과</x:t>
  </x:si>
  <x:si>
    <x:t>교수-정치외교학과</x:t>
  </x:si>
  <x:si>
    <x:t>교수-방송연예학과</x:t>
  </x:si>
  <x:si>
    <x:t>연구자-방송연예학과</x:t>
  </x:si>
  <x:si>
    <x:t>연구자-행정학과</x:t>
  </x:si>
  <x:si>
    <x:t>연구자-산업공학과</x:t>
  </x:si>
  <x:si>
    <x:t>연구자-외교학과</x:t>
  </x:si>
  <x:si>
    <x:t>연구자-컴퓨터공학과</x:t>
  </x:si>
  <x:si>
    <x:t>연구자-국어국문학과</x:t>
  </x:si>
  <x:si>
    <x:t>연구자-군사학과</x:t>
  </x:si>
  <x:si>
    <x:t>키</x:t>
  </x:si>
  <x:si>
    <x:t>집중력</x:t>
  </x:si>
  <x:si>
    <x:t>예술</x:t>
  </x:si>
  <x:si>
    <x:t>판사</x:t>
  </x:si>
  <x:si>
    <x:t>참을성</x:t>
  </x:si>
  <x:si>
    <x:t>경영</x:t>
  </x:si>
  <x:si>
    <x:t>논리력</x:t>
  </x:si>
  <x:si>
    <x:t>얼굴</x:t>
  </x:si>
  <x:si>
    <x:t>의사</x:t>
  </x:si>
  <x:si>
    <x:t>미술</x:t>
  </x:si>
  <x:si>
    <x:t>체격</x:t>
  </x:si>
  <x:si>
    <x:t>회복력</x:t>
  </x:si>
  <x:si>
    <x:t>건강</x:t>
  </x:si>
  <x:si>
    <x:t>체력</x:t>
  </x:si>
  <x:si>
    <x:t>직장인</x:t>
  </x:si>
  <x:si>
    <x:t>근력</x:t>
  </x:si>
  <x:si>
    <x:t>정신력</x:t>
  </x:si>
  <x:si>
    <x:t>외국어</x:t>
  </x:si>
  <x:si>
    <x:t>지구력</x:t>
  </x:si>
  <x:si>
    <x:t>공공력</x:t>
  </x:si>
  <x:si>
    <x:t>법</x:t>
  </x:si>
  <x:si>
    <x:t>순위</x:t>
  </x:si>
  <x:si>
    <x:t>리더십</x:t>
  </x:si>
  <x:si>
    <x:t>정치</x:t>
  </x:si>
  <x:si>
    <x:t/>
  </x:si>
  <x:si>
    <x:t>음악</x:t>
  </x:si>
  <x:si>
    <x:t>창의력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</x:si>
</x:sst>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164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0" xfId="0" applyFont="1" applyFill="1" applyBorder="1" applyAlignment="1" applyProtection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bc0a0e"/>
            <hs:size val="0"/>
            <hs:ratio val="0"/>
            <hs:spacing val="0"/>
            <hs:offset val="0"/>
          </x:font>
          <x:fill>
            <x:patternFill patternType="solid">
              <x:bgColor rgb="fff97d81"/>
            </x:patternFill>
          </x:fill>
        </x:dxf>
      </mc:Choice>
      <mc:Fallback>
        <x:dxf>
          <x:font>
            <x:color rgb="ffbc0a0e"/>
          </x:font>
          <x:fill>
            <x:patternFill patternType="solid">
              <x:bgColor rgb="fff97d81"/>
            </x:patternFill>
          </x:fill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J68"/>
  <x:sheetViews>
    <x:sheetView tabSelected="1" topLeftCell="A1" zoomScaleNormal="100" zoomScaleSheetLayoutView="100" workbookViewId="0">
      <x:selection activeCell="A1" activeCellId="0" sqref="A1:A1"/>
    </x:sheetView>
  </x:sheetViews>
  <x:sheetFormatPr defaultColWidth="8.796875" defaultRowHeight="16.399999999999999"/>
  <x:cols>
    <x:col min="2" max="2" width="8.796875" style="1" bestFit="1" customWidth="1"/>
    <x:col min="4" max="4" width="10.73046875" style="1" bestFit="1" customWidth="1"/>
    <x:col min="5" max="5" width="8.796875" style="12" bestFit="1" customWidth="1"/>
    <x:col min="6" max="7" width="8.796875" style="1" bestFit="1" customWidth="1"/>
    <x:col min="8" max="8" width="18.984375" style="14" bestFit="1" customWidth="1"/>
    <x:col min="9" max="9" width="8.796875" style="10" bestFit="1" customWidth="1"/>
    <x:col min="10" max="10" width="8.796875" style="15" bestFit="1" customWidth="1"/>
  </x:cols>
  <x:sheetData>
    <x:row r="1" spans="1:10">
      <x:c r="A1" s="2" t="s">
        <x:v>37</x:v>
      </x:c>
      <x:c r="B1" s="13">
        <x:v>-10</x:v>
      </x:c>
      <x:c r="D1" s="2" t="s">
        <x:v>25</x:v>
      </x:c>
      <x:c r="E1" s="11" t="s">
        <x:v>24</x:v>
      </x:c>
      <x:c r="F1" s="2" t="s">
        <x:v>113</x:v>
      </x:c>
      <x:c r="H1" s="16" t="s">
        <x:v>1</x:v>
      </x:c>
      <x:c r="I1" s="11" t="s">
        <x:v>24</x:v>
      </x:c>
      <x:c r="J1" s="4" t="s">
        <x:v>113</x:v>
      </x:c>
    </x:row>
    <x:row r="2" spans="1:10">
      <x:c r="A2" s="2" t="s">
        <x:v>118</x:v>
      </x:c>
      <x:c r="B2" s="13">
        <x:v>4</x:v>
      </x:c>
      <x:c r="D2" s="6" t="s">
        <x:v>112</x:v>
      </x:c>
      <x:c r="E2" s="11">
        <x:f>VLOOKUP(D2,Sheet2!$A$2:$H$109,8,0)</x:f>
        <x:v>-16.666666666666664</x:v>
      </x:c>
      <x:c r="F2" s="2">
        <x:f>RANK(E2,$E$2:$E$37)</x:f>
        <x:v>27</x:v>
      </x:c>
      <x:c r="H2" s="4" t="s">
        <x:v>21</x:v>
      </x:c>
      <x:c r="I2" s="11">
        <x:f>VLOOKUP(H2,Sheet2!$M:$S,7,0)</x:f>
        <x:v>47.099128855669022</x:v>
      </x:c>
      <x:c r="J2" s="4">
        <x:f>RANK(I2,$I$2:$I$68)</x:f>
        <x:v>1</x:v>
      </x:c>
    </x:row>
    <x:row r="3" spans="1:10">
      <x:c r="A3" s="2" t="s">
        <x:v>93</x:v>
      </x:c>
      <x:c r="B3" s="13">
        <x:v>-73</x:v>
      </x:c>
      <x:c r="D3" s="6" t="s">
        <x:v>101</x:v>
      </x:c>
      <x:c r="E3" s="11">
        <x:f>VLOOKUP(D3,Sheet2!$A$2:$H$109,8,0)</x:f>
        <x:v>-22.18518518518518</x:v>
      </x:c>
      <x:c r="F3" s="2">
        <x:f t="shared" ref="F3:F37" si="0">RANK(E3,$E$2:$E$37)</x:f>
        <x:v>32</x:v>
      </x:c>
      <x:c r="H3" s="4" t="s">
        <x:v>31</x:v>
      </x:c>
      <x:c r="I3" s="11">
        <x:f>VLOOKUP(H3,Sheet2!$M:$S,7,0)</x:f>
        <x:v>40.91119462025317</x:v>
      </x:c>
      <x:c r="J3" s="4">
        <x:f>RANK(I3,$I$2:$I$68)</x:f>
        <x:v>2</x:v>
      </x:c>
    </x:row>
    <x:row r="4" spans="1:10">
      <x:c r="A4" s="2" t="s">
        <x:v>102</x:v>
      </x:c>
      <x:c r="B4" s="13">
        <x:v>26</x:v>
      </x:c>
      <x:c r="D4" s="6" t="s">
        <x:v>94</x:v>
      </x:c>
      <x:c r="E4" s="11">
        <x:f>VLOOKUP(D4,Sheet2!$A$2:$H$109,8,0)</x:f>
        <x:v>-17.608695652173914</x:v>
      </x:c>
      <x:c r="F4" s="2">
        <x:f t="shared" si="0"/>
        <x:v>28</x:v>
      </x:c>
      <x:c r="H4" s="7" t="s">
        <x:v>28</x:v>
      </x:c>
      <x:c r="I4" s="11">
        <x:f>VLOOKUP(H4,Sheet2!$M:$S,7,0)</x:f>
        <x:v>39.571765506679142</x:v>
      </x:c>
      <x:c r="J4" s="4">
        <x:f>RANK(I4,$I$2:$I$68)</x:f>
        <x:v>3</x:v>
      </x:c>
    </x:row>
    <x:row r="5" spans="1:10">
      <x:c r="A5" s="2" t="s">
        <x:v>92</x:v>
      </x:c>
      <x:c r="B5" s="13"/>
      <x:c r="D5" s="6" t="s">
        <x:v>34</x:v>
      </x:c>
      <x:c r="E5" s="11">
        <x:f>VLOOKUP(D5,Sheet2!$A$2:$H$109,8,0)</x:f>
        <x:v>37.133333333333333</x:v>
      </x:c>
      <x:c r="F5" s="2">
        <x:f t="shared" si="0"/>
        <x:v>12</x:v>
      </x:c>
      <x:c r="H5" s="7" t="s">
        <x:v>75</x:v>
      </x:c>
      <x:c r="I5" s="11">
        <x:f>VLOOKUP(H5,Sheet2!$M:$S,7,0)</x:f>
        <x:v>39.263354037267085</x:v>
      </x:c>
      <x:c r="J5" s="4">
        <x:f>RANK(I5,$I$2:$I$68)</x:f>
        <x:v>4</x:v>
      </x:c>
    </x:row>
    <x:row r="6" spans="1:10">
      <x:c r="A6" s="2" t="s">
        <x:v>99</x:v>
      </x:c>
      <x:c r="B6" s="13">
        <x:v>154</x:v>
      </x:c>
      <x:c r="D6" s="6" t="s">
        <x:v>42</x:v>
      </x:c>
      <x:c r="E6" s="11">
        <x:f>VLOOKUP(D6,Sheet2!$A$2:$H$109,8,0)</x:f>
        <x:v>36.242424242424249</x:v>
      </x:c>
      <x:c r="F6" s="2">
        <x:f t="shared" si="0"/>
        <x:v>14</x:v>
      </x:c>
      <x:c r="H6" s="7" t="s">
        <x:v>65</x:v>
      </x:c>
      <x:c r="I6" s="11">
        <x:f>VLOOKUP(H6,Sheet2!$M:$S,7,0)</x:f>
        <x:v>38.866056902624507</x:v>
      </x:c>
      <x:c r="J6" s="4">
        <x:f>RANK(I6,$I$2:$I$68)</x:f>
        <x:v>5</x:v>
      </x:c>
    </x:row>
    <x:row r="7" spans="1:10">
      <x:c r="A7" s="2" t="s">
        <x:v>15</x:v>
      </x:c>
      <x:c r="B7" s="13">
        <x:v>-24</x:v>
      </x:c>
      <x:c r="D7" s="6" t="s">
        <x:v>117</x:v>
      </x:c>
      <x:c r="E7" s="11">
        <x:f>VLOOKUP(D7,Sheet2!$A$2:$H$109,8,0)</x:f>
        <x:v>-0.71428571428571463</x:v>
      </x:c>
      <x:c r="F7" s="2">
        <x:f t="shared" si="0"/>
        <x:v>23</x:v>
      </x:c>
      <x:c r="H7" s="7" t="s">
        <x:v>59</x:v>
      </x:c>
      <x:c r="I7" s="11">
        <x:f>VLOOKUP(H7,Sheet2!$M:$S,7,0)</x:f>
        <x:v>38.300955905026207</x:v>
      </x:c>
      <x:c r="J7" s="4">
        <x:f>RANK(I7,$I$2:$I$68)</x:f>
        <x:v>6</x:v>
      </x:c>
    </x:row>
    <x:row r="8" spans="1:10">
      <x:c r="A8" s="2" t="s">
        <x:v>50</x:v>
      </x:c>
      <x:c r="B8" s="13">
        <x:v>156</x:v>
      </x:c>
      <x:c r="D8" s="6" t="s">
        <x:v>118</x:v>
      </x:c>
      <x:c r="E8" s="11">
        <x:f>VLOOKUP(D8,Sheet2!$A$2:$H$109,8,0)</x:f>
        <x:v>-2.1818181818181812</x:v>
      </x:c>
      <x:c r="F8" s="2">
        <x:f t="shared" si="0"/>
        <x:v>24</x:v>
      </x:c>
      <x:c r="H8" s="4" t="s">
        <x:v>10</x:v>
      </x:c>
      <x:c r="I8" s="11">
        <x:f>VLOOKUP(H8,Sheet2!$M:$S,7,0)</x:f>
        <x:v>37.82839934687663</x:v>
      </x:c>
      <x:c r="J8" s="4">
        <x:f>RANK(I8,$I$2:$I$68)</x:f>
        <x:v>7</x:v>
      </x:c>
    </x:row>
    <x:row r="9" spans="1:10">
      <x:c r="A9" s="2" t="s">
        <x:v>98</x:v>
      </x:c>
      <x:c r="B9" s="13">
        <x:v>27</x:v>
      </x:c>
      <x:c r="D9" s="6" t="s">
        <x:v>13</x:v>
      </x:c>
      <x:c r="E9" s="11">
        <x:f>VLOOKUP(D9,Sheet2!$A$2:$H$109,8,0)</x:f>
        <x:v>-4.3181818181818175</x:v>
      </x:c>
      <x:c r="F9" s="2">
        <x:f t="shared" si="0"/>
        <x:v>25</x:v>
      </x:c>
      <x:c r="H9" s="4" t="s">
        <x:v>12</x:v>
      </x:c>
      <x:c r="I9" s="11">
        <x:f>VLOOKUP(H9,Sheet2!$M:$S,7,0)</x:f>
        <x:v>37.577068236714972</x:v>
      </x:c>
      <x:c r="J9" s="4">
        <x:f>RANK(I9,$I$2:$I$68)</x:f>
        <x:v>8</x:v>
      </x:c>
    </x:row>
    <x:row r="10" spans="1:10">
      <x:c r="A10" s="2" t="s">
        <x:v>6</x:v>
      </x:c>
      <x:c r="B10" s="13">
        <x:v>12</x:v>
      </x:c>
      <x:c r="D10" s="6" t="s">
        <x:v>41</x:v>
      </x:c>
      <x:c r="E10" s="11">
        <x:f>VLOOKUP(D10,Sheet2!$A$2:$H$109,8,0)</x:f>
        <x:v>32.777777777777779</x:v>
      </x:c>
      <x:c r="F10" s="2">
        <x:f t="shared" si="0"/>
        <x:v>15</x:v>
      </x:c>
      <x:c r="H10" s="4" t="s">
        <x:v>17</x:v>
      </x:c>
      <x:c r="I10" s="11">
        <x:f>VLOOKUP(H10,Sheet2!$M:$S,7,0)</x:f>
        <x:v>37.420258620689658</x:v>
      </x:c>
      <x:c r="J10" s="4">
        <x:f>RANK(I10,$I$2:$I$68)</x:f>
        <x:v>9</x:v>
      </x:c>
    </x:row>
    <x:row r="11" spans="1:10">
      <x:c r="A11" s="2" t="s">
        <x:v>114</x:v>
      </x:c>
      <x:c r="B11" s="13">
        <x:v>26</x:v>
      </x:c>
      <x:c r="D11" s="6" t="s">
        <x:v>29</x:v>
      </x:c>
      <x:c r="E11" s="11">
        <x:f>VLOOKUP(D11,Sheet2!$A$2:$H$109,8,0)</x:f>
        <x:v>27.076923076923077</x:v>
      </x:c>
      <x:c r="F11" s="2">
        <x:f t="shared" si="0"/>
        <x:v>18</x:v>
      </x:c>
      <x:c r="H11" s="7" t="s">
        <x:v>60</x:v>
      </x:c>
      <x:c r="I11" s="11">
        <x:f>VLOOKUP(H11,Sheet2!$M:$S,7,0)</x:f>
        <x:v>37.21325051759834</x:v>
      </x:c>
      <x:c r="J11" s="4">
        <x:f>RANK(I11,$I$2:$I$68)</x:f>
        <x:v>10</x:v>
      </x:c>
    </x:row>
    <x:row r="12" spans="1:10">
      <x:c r="A12" s="2" t="s">
        <x:v>103</x:v>
      </x:c>
      <x:c r="B12" s="13">
        <x:v>82</x:v>
      </x:c>
      <x:c r="D12" s="6" t="s">
        <x:v>44</x:v>
      </x:c>
      <x:c r="E12" s="11">
        <x:f>VLOOKUP(D12,Sheet2!$A$2:$H$109,8,0)</x:f>
        <x:v>43.096774193548399</x:v>
      </x:c>
      <x:c r="F12" s="2">
        <x:f t="shared" si="0"/>
        <x:v>8</x:v>
      </x:c>
      <x:c r="H12" s="4" t="s">
        <x:v>23</x:v>
      </x:c>
      <x:c r="I12" s="11">
        <x:f>VLOOKUP(H12,Sheet2!$M:$S,7,0)</x:f>
        <x:v>36.837506420133543</x:v>
      </x:c>
      <x:c r="J12" s="4">
        <x:f>RANK(I12,$I$2:$I$68)</x:f>
        <x:v>11</x:v>
      </x:c>
    </x:row>
    <x:row r="13" spans="1:10">
      <x:c r="A13" s="2" t="s">
        <x:v>104</x:v>
      </x:c>
      <x:c r="B13" s="13">
        <x:v>166</x:v>
      </x:c>
      <x:c r="D13" s="6" t="s">
        <x:v>40</x:v>
      </x:c>
      <x:c r="E13" s="11">
        <x:f>VLOOKUP(D13,Sheet2!$A$2:$H$109,8,0)</x:f>
        <x:v>14.034482758620696</x:v>
      </x:c>
      <x:c r="F13" s="2">
        <x:f t="shared" si="0"/>
        <x:v>22</x:v>
      </x:c>
      <x:c r="H13" s="7" t="s">
        <x:v>84</x:v>
      </x:c>
      <x:c r="I13" s="11">
        <x:f>VLOOKUP(H13,Sheet2!$M:$S,7,0)</x:f>
        <x:v>33.897695852534575</x:v>
      </x:c>
      <x:c r="J13" s="4">
        <x:f>RANK(I13,$I$2:$I$68)</x:f>
        <x:v>12</x:v>
      </x:c>
    </x:row>
    <x:row r="14" spans="1:10">
      <x:c r="A14" s="2" t="s">
        <x:v>108</x:v>
      </x:c>
      <x:c r="B14" s="13">
        <x:v>-13</x:v>
      </x:c>
      <x:c r="D14" s="6" t="s">
        <x:v>47</x:v>
      </x:c>
      <x:c r="E14" s="11">
        <x:f>VLOOKUP(D14,Sheet2!$A$2:$H$109,8,0)</x:f>
        <x:v>-24.482758620689651</x:v>
      </x:c>
      <x:c r="F14" s="2">
        <x:f t="shared" si="0"/>
        <x:v>35</x:v>
      </x:c>
      <x:c r="H14" s="7" t="s">
        <x:v>52</x:v>
      </x:c>
      <x:c r="I14" s="11">
        <x:f>VLOOKUP(H14,Sheet2!$M:$S,7,0)</x:f>
        <x:v>32.203312629399591</x:v>
      </x:c>
      <x:c r="J14" s="4">
        <x:f>RANK(I14,$I$2:$I$68)</x:f>
        <x:v>13</x:v>
      </x:c>
    </x:row>
    <x:row r="15" spans="1:10">
      <x:c r="A15" s="2" t="s">
        <x:v>110</x:v>
      </x:c>
      <x:c r="B15" s="13">
        <x:v>-40</x:v>
      </x:c>
      <x:c r="D15" s="6" t="s">
        <x:v>43</x:v>
      </x:c>
      <x:c r="E15" s="11">
        <x:f>VLOOKUP(D15,Sheet2!$A$2:$H$109,8,0)</x:f>
        <x:v>22.424657534246574</x:v>
      </x:c>
      <x:c r="F15" s="2">
        <x:f t="shared" si="0"/>
        <x:v>20</x:v>
      </x:c>
      <x:c r="H15" s="4" t="s">
        <x:v>32</x:v>
      </x:c>
      <x:c r="I15" s="11">
        <x:f>VLOOKUP(H15,Sheet2!$M:$S,7,0)</x:f>
        <x:v>31.506355932203391</x:v>
      </x:c>
      <x:c r="J15" s="4">
        <x:f>RANK(I15,$I$2:$I$68)</x:f>
        <x:v>14</x:v>
      </x:c>
    </x:row>
    <x:row r="16" spans="2:10">
      <x:c r="B16"/>
      <x:c r="D16" s="6" t="s">
        <x:v>97</x:v>
      </x:c>
      <x:c r="E16" s="11">
        <x:f>VLOOKUP(D16,Sheet2!$A$2:$H$109,8,0)</x:f>
        <x:v>40.724637681159422</x:v>
      </x:c>
      <x:c r="F16" s="2">
        <x:f t="shared" si="0"/>
        <x:v>10</x:v>
      </x:c>
      <x:c r="H16" s="7" t="s">
        <x:v>61</x:v>
      </x:c>
      <x:c r="I16" s="11">
        <x:f>VLOOKUP(H16,Sheet2!$M:$S,7,0)</x:f>
        <x:v>31.209523809523809</x:v>
      </x:c>
      <x:c r="J16" s="4">
        <x:f>RANK(I16,$I$2:$I$68)</x:f>
        <x:v>15</x:v>
      </x:c>
    </x:row>
    <x:row r="17" spans="4:10">
      <x:c r="D17" s="6" t="s">
        <x:v>35</x:v>
      </x:c>
      <x:c r="E17" s="11">
        <x:f>VLOOKUP(D17,Sheet2!$A$2:$H$109,8,0)</x:f>
        <x:v>-30.625</x:v>
      </x:c>
      <x:c r="F17" s="2">
        <x:f t="shared" si="0"/>
        <x:v>36</x:v>
      </x:c>
      <x:c r="H17" s="7" t="s">
        <x:v>66</x:v>
      </x:c>
      <x:c r="I17" s="11">
        <x:f>VLOOKUP(H17,Sheet2!$M:$S,7,0)</x:f>
        <x:v>30.754347826086956</x:v>
      </x:c>
      <x:c r="J17" s="4">
        <x:f>RANK(I17,$I$2:$I$68)</x:f>
        <x:v>16</x:v>
      </x:c>
    </x:row>
    <x:row r="18" spans="4:10">
      <x:c r="D18" s="6" t="s">
        <x:v>115</x:v>
      </x:c>
      <x:c r="E18" s="11">
        <x:f>VLOOKUP(D18,Sheet2!$A$2:$H$109,8,0)</x:f>
        <x:v>36.338028169014088</x:v>
      </x:c>
      <x:c r="F18" s="2">
        <x:f t="shared" si="0"/>
        <x:v>13</x:v>
      </x:c>
      <x:c r="H18" s="7" t="s">
        <x:v>53</x:v>
      </x:c>
      <x:c r="I18" s="11">
        <x:f>VLOOKUP(H18,Sheet2!$M:$S,7,0)</x:f>
        <x:v>29.638095238095239</x:v>
      </x:c>
      <x:c r="J18" s="4">
        <x:f>RANK(I18,$I$2:$I$68)</x:f>
        <x:v>17</x:v>
      </x:c>
    </x:row>
    <x:row r="19" spans="4:10">
      <x:c r="D19" s="6" t="s">
        <x:v>111</x:v>
      </x:c>
      <x:c r="E19" s="11">
        <x:f>VLOOKUP(D19,Sheet2!$A$2:$H$109,8,0)</x:f>
        <x:v>39.333333333333329</x:v>
      </x:c>
      <x:c r="F19" s="2">
        <x:f t="shared" si="0"/>
        <x:v>11</x:v>
      </x:c>
      <x:c r="H19" s="4" t="s">
        <x:v>49</x:v>
      </x:c>
      <x:c r="I19" s="11">
        <x:f>VLOOKUP(H19,Sheet2!$M:$S,7,0)</x:f>
        <x:v>29.372086864406782</x:v>
      </x:c>
      <x:c r="J19" s="4">
        <x:f>RANK(I19,$I$2:$I$68)</x:f>
        <x:v>18</x:v>
      </x:c>
    </x:row>
    <x:row r="20" spans="4:10">
      <x:c r="D20" s="6" t="s">
        <x:v>26</x:v>
      </x:c>
      <x:c r="E20" s="11">
        <x:f>VLOOKUP(D20,Sheet2!$A$2:$H$109,8,0)</x:f>
        <x:v>47.291139240506332</x:v>
      </x:c>
      <x:c r="F20" s="2">
        <x:f t="shared" si="0"/>
        <x:v>4</x:v>
      </x:c>
      <x:c r="H20" s="7" t="s">
        <x:v>83</x:v>
      </x:c>
      <x:c r="I20" s="11">
        <x:f>VLOOKUP(H20,Sheet2!$M:$S,7,0)</x:f>
        <x:v>29.070020120724351</x:v>
      </x:c>
      <x:c r="J20" s="4">
        <x:f>RANK(I20,$I$2:$I$68)</x:f>
        <x:v>19</x:v>
      </x:c>
    </x:row>
    <x:row r="21" spans="4:10">
      <x:c r="D21" s="6" t="s">
        <x:v>109</x:v>
      </x:c>
      <x:c r="E21" s="11">
        <x:f>VLOOKUP(D21,Sheet2!$A$2:$H$109,8,0)</x:f>
        <x:v>45.040000000000006</x:v>
      </x:c>
      <x:c r="F21" s="2">
        <x:f t="shared" si="0"/>
        <x:v>7</x:v>
      </x:c>
      <x:c r="H21" s="7" t="s">
        <x:v>63</x:v>
      </x:c>
      <x:c r="I21" s="11">
        <x:f>VLOOKUP(H21,Sheet2!$M:$S,7,0)</x:f>
        <x:v>29.00173160173161</x:v>
      </x:c>
      <x:c r="J21" s="4">
        <x:f>RANK(I21,$I$2:$I$68)</x:f>
        <x:v>20</x:v>
      </x:c>
    </x:row>
    <x:row r="22" spans="4:10">
      <x:c r="D22" s="6" t="s">
        <x:v>107</x:v>
      </x:c>
      <x:c r="E22" s="11">
        <x:f>VLOOKUP(D22,Sheet2!$A$2:$H$109,8,0)</x:f>
        <x:v>31.999999999999996</x:v>
      </x:c>
      <x:c r="F22" s="2">
        <x:f t="shared" si="0"/>
        <x:v>16</x:v>
      </x:c>
      <x:c r="H22" s="7" t="s">
        <x:v>85</x:v>
      </x:c>
      <x:c r="I22" s="11">
        <x:f>VLOOKUP(H22,Sheet2!$M:$S,7,0)</x:f>
        <x:v>26.998387096774199</x:v>
      </x:c>
      <x:c r="J22" s="4">
        <x:f>RANK(I22,$I$2:$I$68)</x:f>
        <x:v>21</x:v>
      </x:c>
    </x:row>
    <x:row r="23" spans="4:10">
      <x:c r="D23" s="6" t="s">
        <x:v>27</x:v>
      </x:c>
      <x:c r="E23" s="11">
        <x:f>VLOOKUP(D23,Sheet2!$A$2:$H$109,8,0)</x:f>
        <x:v>24.492307692307691</x:v>
      </x:c>
      <x:c r="F23" s="2">
        <x:f t="shared" si="0"/>
        <x:v>19</x:v>
      </x:c>
      <x:c r="H23" s="7" t="s">
        <x:v>58</x:v>
      </x:c>
      <x:c r="I23" s="11">
        <x:f>VLOOKUP(H23,Sheet2!$M:$S,7,0)</x:f>
        <x:v>26.526984126984129</x:v>
      </x:c>
      <x:c r="J23" s="4">
        <x:f>RANK(I23,$I$2:$I$68)</x:f>
        <x:v>22</x:v>
      </x:c>
    </x:row>
    <x:row r="24" spans="4:10">
      <x:c r="D24" s="6" t="s">
        <x:v>46</x:v>
      </x:c>
      <x:c r="E24" s="11">
        <x:f>VLOOKUP(D24,Sheet2!$A$2:$H$109,8,0)</x:f>
        <x:v>-18.535714285714288</x:v>
      </x:c>
      <x:c r="F24" s="2">
        <x:f t="shared" si="0"/>
        <x:v>29</x:v>
      </x:c>
      <x:c r="H24" s="7" t="s">
        <x:v>3</x:v>
      </x:c>
      <x:c r="I24" s="11">
        <x:f>VLOOKUP(H24,Sheet2!$M:$S,7,0)</x:f>
        <x:v>26.357713347615761</x:v>
      </x:c>
      <x:c r="J24" s="4">
        <x:f>RANK(I24,$I$2:$I$68)</x:f>
        <x:v>23</x:v>
      </x:c>
    </x:row>
    <x:row r="25" spans="4:10">
      <x:c r="D25" s="6" t="s">
        <x:v>8</x:v>
      </x:c>
      <x:c r="E25" s="11">
        <x:f>VLOOKUP(D25,Sheet2!$A$2:$H$109,8,0)</x:f>
        <x:v>-24.333333333333336</x:v>
      </x:c>
      <x:c r="F25" s="2">
        <x:f t="shared" si="0"/>
        <x:v>34</x:v>
      </x:c>
      <x:c r="H25" s="7" t="s">
        <x:v>67</x:v>
      </x:c>
      <x:c r="I25" s="11">
        <x:f>VLOOKUP(H25,Sheet2!$M:$S,7,0)</x:f>
        <x:v>25.81231884057971</x:v>
      </x:c>
      <x:c r="J25" s="4">
        <x:f>RANK(I25,$I$2:$I$68)</x:f>
        <x:v>24</x:v>
      </x:c>
    </x:row>
    <x:row r="26" spans="4:10">
      <x:c r="D26" s="6" t="s">
        <x:v>36</x:v>
      </x:c>
      <x:c r="E26" s="11">
        <x:f>VLOOKUP(D26,Sheet2!$A$2:$H$109,8,0)</x:f>
        <x:v>-19.54716981132076</x:v>
      </x:c>
      <x:c r="F26" s="2">
        <x:f t="shared" si="0"/>
        <x:v>31</x:v>
      </x:c>
      <x:c r="H26" s="7" t="s">
        <x:v>64</x:v>
      </x:c>
      <x:c r="I26" s="11">
        <x:f>VLOOKUP(H26,Sheet2!$M:$S,7,0)</x:f>
        <x:v>25.632445520581115</x:v>
      </x:c>
      <x:c r="J26" s="4">
        <x:f>RANK(I26,$I$2:$I$68)</x:f>
        <x:v>25</x:v>
      </x:c>
    </x:row>
    <x:row r="27" spans="4:10">
      <x:c r="D27" s="6" t="s">
        <x:v>16</x:v>
      </x:c>
      <x:c r="E27" s="11">
        <x:f>VLOOKUP(D27,Sheet2!$A$2:$H$109,8,0)</x:f>
        <x:v>-22.372549019607838</x:v>
      </x:c>
      <x:c r="F27" s="2">
        <x:f t="shared" si="0"/>
        <x:v>33</x:v>
      </x:c>
      <x:c r="H27" s="7" t="s">
        <x:v>86</x:v>
      </x:c>
      <x:c r="I27" s="11">
        <x:f>VLOOKUP(H27,Sheet2!$M:$S,7,0)</x:f>
        <x:v>25.116666666666664</x:v>
      </x:c>
      <x:c r="J27" s="4">
        <x:f>RANK(I27,$I$2:$I$68)</x:f>
        <x:v>26</x:v>
      </x:c>
    </x:row>
    <x:row r="28" spans="4:10">
      <x:c r="D28" s="6" t="s">
        <x:v>39</x:v>
      </x:c>
      <x:c r="E28" s="11">
        <x:f>VLOOKUP(D28,Sheet2!$A$2:$H$109,8,0)</x:f>
        <x:v>-19.280000000000001</x:v>
      </x:c>
      <x:c r="F28" s="2">
        <x:f t="shared" si="0"/>
        <x:v>30</x:v>
      </x:c>
      <x:c r="H28" s="7" t="s">
        <x:v>76</x:v>
      </x:c>
      <x:c r="I28" s="11">
        <x:f>VLOOKUP(H28,Sheet2!$M:$S,7,0)</x:f>
        <x:v>24.016666666666666</x:v>
      </x:c>
      <x:c r="J28" s="4">
        <x:f>RANK(I28,$I$2:$I$68)</x:f>
        <x:v>27</x:v>
      </x:c>
    </x:row>
    <x:row r="29" spans="4:10">
      <x:c r="D29" s="6" t="s">
        <x:v>50</x:v>
      </x:c>
      <x:c r="E29" s="11">
        <x:f>VLOOKUP(D29,Sheet2!$A$2:$H$109,8,0)</x:f>
        <x:v>41.079999999999998</x:v>
      </x:c>
      <x:c r="F29" s="2">
        <x:f t="shared" si="0"/>
        <x:v>9</x:v>
      </x:c>
      <x:c r="H29" s="7" t="s">
        <x:v>72</x:v>
      </x:c>
      <x:c r="I29" s="11">
        <x:f>VLOOKUP(H29,Sheet2!$M:$S,7,0)</x:f>
        <x:v>23.619014084507043</x:v>
      </x:c>
      <x:c r="J29" s="4">
        <x:f>RANK(I29,$I$2:$I$68)</x:f>
        <x:v>28</x:v>
      </x:c>
    </x:row>
    <x:row r="30" spans="4:10">
      <x:c r="D30" s="6" t="s">
        <x:v>18</x:v>
      </x:c>
      <x:c r="E30" s="11">
        <x:f>VLOOKUP(D30,Sheet2!$A$2:$H$109,8,0)</x:f>
        <x:v>-13.4</x:v>
      </x:c>
      <x:c r="F30" s="2">
        <x:f t="shared" si="0"/>
        <x:v>26</x:v>
      </x:c>
      <x:c r="H30" s="7" t="s">
        <x:v>82</x:v>
      </x:c>
      <x:c r="I30" s="11">
        <x:f>VLOOKUP(H30,Sheet2!$M:$S,7,0)</x:f>
        <x:v>23.571212121212124</x:v>
      </x:c>
      <x:c r="J30" s="4">
        <x:f>RANK(I30,$I$2:$I$68)</x:f>
        <x:v>29</x:v>
      </x:c>
    </x:row>
    <x:row r="31" spans="4:10">
      <x:c r="D31" s="6" t="s">
        <x:v>30</x:v>
      </x:c>
      <x:c r="E31" s="11">
        <x:f>VLOOKUP(D31,Sheet2!$A$2:$H$109,8,0)</x:f>
        <x:v>31.525423728813561</x:v>
      </x:c>
      <x:c r="F31" s="2">
        <x:f t="shared" si="0"/>
        <x:v>17</x:v>
      </x:c>
      <x:c r="H31" s="4" t="s">
        <x:v>4</x:v>
      </x:c>
      <x:c r="I31" s="11">
        <x:f>VLOOKUP(H31,Sheet2!$M:$S,7,0)</x:f>
        <x:v>22.177840112201967</x:v>
      </x:c>
      <x:c r="J31" s="4">
        <x:f>RANK(I31,$I$2:$I$68)</x:f>
        <x:v>30</x:v>
      </x:c>
    </x:row>
    <x:row r="32" spans="4:10">
      <x:c r="D32" s="6" t="s">
        <x:v>45</x:v>
      </x:c>
      <x:c r="E32" s="11">
        <x:f>VLOOKUP(D32,Sheet2!$A$2:$H$109,8,0)</x:f>
        <x:v>58.965517241379324</x:v>
      </x:c>
      <x:c r="F32" s="2">
        <x:f t="shared" si="0"/>
        <x:v>2</x:v>
      </x:c>
      <x:c r="H32" s="7" t="s">
        <x:v>91</x:v>
      </x:c>
      <x:c r="I32" s="11">
        <x:f>VLOOKUP(H32,Sheet2!$M:$S,7,0)</x:f>
        <x:v>21.838888888888889</x:v>
      </x:c>
      <x:c r="J32" s="4">
        <x:f>RANK(I32,$I$2:$I$68)</x:f>
        <x:v>31</x:v>
      </x:c>
    </x:row>
    <x:row r="33" spans="4:10">
      <x:c r="D33" s="6" t="s">
        <x:v>33</x:v>
      </x:c>
      <x:c r="E33" s="11">
        <x:f>VLOOKUP(D33,Sheet2!$A$2:$H$109,8,0)</x:f>
        <x:v>50.608695652173914</x:v>
      </x:c>
      <x:c r="F33" s="2">
        <x:f t="shared" si="0"/>
        <x:v>3</x:v>
      </x:c>
      <x:c r="H33" s="7" t="s">
        <x:v>80</x:v>
      </x:c>
      <x:c r="I33" s="11">
        <x:f>VLOOKUP(H33,Sheet2!$M:$S,7,0)</x:f>
        <x:v>21.212711864406778</x:v>
      </x:c>
      <x:c r="J33" s="4">
        <x:f>RANK(I33,$I$2:$I$68)</x:f>
        <x:v>32</x:v>
      </x:c>
    </x:row>
    <x:row r="34" spans="4:10">
      <x:c r="D34" s="6" t="s">
        <x:v>6</x:v>
      </x:c>
      <x:c r="E34" s="11">
        <x:f>VLOOKUP(D34,Sheet2!$A$2:$H$109,8,0)</x:f>
        <x:v>59.913043478260867</x:v>
      </x:c>
      <x:c r="F34" s="2">
        <x:f t="shared" si="0"/>
        <x:v>1</x:v>
      </x:c>
      <x:c r="H34" s="4" t="s">
        <x:v>0</x:v>
      </x:c>
      <x:c r="I34" s="11">
        <x:f>VLOOKUP(H34,Sheet2!$M:$S,7,0)</x:f>
        <x:v>21.189248879940507</x:v>
      </x:c>
      <x:c r="J34" s="4">
        <x:f>RANK(I34,$I$2:$I$68)</x:f>
        <x:v>33</x:v>
      </x:c>
    </x:row>
    <x:row r="35" spans="4:10">
      <x:c r="D35" s="6" t="s">
        <x:v>114</x:v>
      </x:c>
      <x:c r="E35" s="11">
        <x:f>VLOOKUP(D35,Sheet2!$A$2:$H$109,8,0)</x:f>
        <x:v>45.914893617021278</x:v>
      </x:c>
      <x:c r="F35" s="2">
        <x:f t="shared" si="0"/>
        <x:v>5</x:v>
      </x:c>
      <x:c r="H35" s="7" t="s">
        <x:v>74</x:v>
      </x:c>
      <x:c r="I35" s="11">
        <x:f>VLOOKUP(H35,Sheet2!$M:$S,7,0)</x:f>
        <x:v>20.60879120879121</x:v>
      </x:c>
      <x:c r="J35" s="4">
        <x:f>RANK(I35,$I$2:$I$68)</x:f>
        <x:v>34</x:v>
      </x:c>
    </x:row>
    <x:row r="36" spans="4:10">
      <x:c r="D36" s="6" t="s">
        <x:v>96</x:v>
      </x:c>
      <x:c r="E36" s="11">
        <x:f>VLOOKUP(D36,Sheet2!$A$2:$H$109,8,0)</x:f>
        <x:v>15.874999999999998</x:v>
      </x:c>
      <x:c r="F36" s="2">
        <x:f t="shared" si="0"/>
        <x:v>21</x:v>
      </x:c>
      <x:c r="H36" s="7" t="s">
        <x:v>95</x:v>
      </x:c>
      <x:c r="I36" s="11">
        <x:f>VLOOKUP(H36,Sheet2!$M:$S,7,0)</x:f>
        <x:v>20.431093544137024</x:v>
      </x:c>
      <x:c r="J36" s="4">
        <x:f>RANK(I36,$I$2:$I$68)</x:f>
        <x:v>35</x:v>
      </x:c>
    </x:row>
    <x:row r="37" spans="4:10">
      <x:c r="D37" s="6" t="s">
        <x:v>105</x:v>
      </x:c>
      <x:c r="E37" s="11">
        <x:f>VLOOKUP(D37,Sheet2!$A$2:$H$109,8,0)</x:f>
        <x:v>45.125</x:v>
      </x:c>
      <x:c r="F37" s="2">
        <x:f t="shared" si="0"/>
        <x:v>6</x:v>
      </x:c>
      <x:c r="H37" s="7" t="s">
        <x:v>51</x:v>
      </x:c>
      <x:c r="I37" s="11">
        <x:f>VLOOKUP(H37,Sheet2!$M:$S,7,0)</x:f>
        <x:v>19.131898238747549</x:v>
      </x:c>
      <x:c r="J37" s="4">
        <x:f>RANK(I37,$I$2:$I$68)</x:f>
        <x:v>36</x:v>
      </x:c>
    </x:row>
    <x:row r="38" spans="8:10">
      <x:c r="H38" s="7" t="s">
        <x:v>90</x:v>
      </x:c>
      <x:c r="I38" s="11">
        <x:f>VLOOKUP(H38,Sheet2!$M:$S,7,0)</x:f>
        <x:v>17.696153846153845</x:v>
      </x:c>
      <x:c r="J38" s="4">
        <x:f>RANK(I38,$I$2:$I$68)</x:f>
        <x:v>37</x:v>
      </x:c>
    </x:row>
    <x:row r="39" spans="8:10">
      <x:c r="H39" s="7" t="s">
        <x:v>88</x:v>
      </x:c>
      <x:c r="I39" s="11">
        <x:f>VLOOKUP(H39,Sheet2!$M:$S,7,0)</x:f>
        <x:v>16.662328767123284</x:v>
      </x:c>
      <x:c r="J39" s="4">
        <x:f>RANK(I39,$I$2:$I$68)</x:f>
        <x:v>38</x:v>
      </x:c>
    </x:row>
    <x:row r="40" spans="8:10">
      <x:c r="H40" s="4" t="s">
        <x:v>5</x:v>
      </x:c>
      <x:c r="I40" s="11">
        <x:f>VLOOKUP(H40,Sheet2!$M:$S,7,0)</x:f>
        <x:v>15.769899665551838</x:v>
      </x:c>
      <x:c r="J40" s="4">
        <x:f>RANK(I40,$I$2:$I$68)</x:f>
        <x:v>39</x:v>
      </x:c>
    </x:row>
    <x:row r="41" spans="8:10">
      <x:c r="H41" s="4" t="s">
        <x:v>11</x:v>
      </x:c>
      <x:c r="I41" s="11">
        <x:f>VLOOKUP(H41,Sheet2!$M:$S,7,0)</x:f>
        <x:v>14.954741379310347</x:v>
      </x:c>
      <x:c r="J41" s="4">
        <x:f>RANK(I41,$I$2:$I$68)</x:f>
        <x:v>40</x:v>
      </x:c>
    </x:row>
    <x:row r="42" spans="8:10">
      <x:c r="H42" s="4" t="s">
        <x:v>19</x:v>
      </x:c>
      <x:c r="I42" s="11">
        <x:f>VLOOKUP(H42,Sheet2!$M:$S,7,0)</x:f>
        <x:v>14.954741379310347</x:v>
      </x:c>
      <x:c r="J42" s="4">
        <x:f>RANK(I42,$I$2:$I$68)</x:f>
        <x:v>40</x:v>
      </x:c>
    </x:row>
    <x:row r="43" spans="8:10">
      <x:c r="H43" s="7" t="s">
        <x:v>73</x:v>
      </x:c>
      <x:c r="I43" s="11">
        <x:f>VLOOKUP(H43,Sheet2!$M:$S,7,0)</x:f>
        <x:v>13.138916256157639</x:v>
      </x:c>
      <x:c r="J43" s="4">
        <x:f>RANK(I43,$I$2:$I$68)</x:f>
        <x:v>42</x:v>
      </x:c>
    </x:row>
    <x:row r="44" spans="8:10">
      <x:c r="H44" s="7" t="s">
        <x:v>87</x:v>
      </x:c>
      <x:c r="I44" s="11">
        <x:f>VLOOKUP(H44,Sheet2!$M:$S,7,0)</x:f>
        <x:v>12.467241379310348</x:v>
      </x:c>
      <x:c r="J44" s="4">
        <x:f>RANK(I44,$I$2:$I$68)</x:f>
        <x:v>43</x:v>
      </x:c>
    </x:row>
    <x:row r="45" spans="8:10">
      <x:c r="H45" s="4" t="s">
        <x:v>22</x:v>
      </x:c>
      <x:c r="I45" s="11">
        <x:f>VLOOKUP(H45,Sheet2!$M:$S,7,0)</x:f>
        <x:v>11.155244755244755</x:v>
      </x:c>
      <x:c r="J45" s="4">
        <x:f>RANK(I45,$I$2:$I$68)</x:f>
        <x:v>44</x:v>
      </x:c>
    </x:row>
    <x:row r="46" spans="8:10">
      <x:c r="H46" s="4" t="s">
        <x:v>9</x:v>
      </x:c>
      <x:c r="I46" s="11">
        <x:f>VLOOKUP(H46,Sheet2!$M:$S,7,0)</x:f>
        <x:v>10.824167137210615</x:v>
      </x:c>
      <x:c r="J46" s="4">
        <x:f>RANK(I46,$I$2:$I$68)</x:f>
        <x:v>45</x:v>
      </x:c>
    </x:row>
    <x:row r="47" spans="8:10">
      <x:c r="H47" s="4" t="s">
        <x:v>106</x:v>
      </x:c>
      <x:c r="I47" s="11">
        <x:f>VLOOKUP(H47,Sheet2!$M:$S,7,0)</x:f>
        <x:v>10.664276299350327</x:v>
      </x:c>
      <x:c r="J47" s="4">
        <x:f>RANK(I47,$I$2:$I$68)</x:f>
        <x:v>46</x:v>
      </x:c>
    </x:row>
    <x:row r="48" spans="8:10">
      <x:c r="H48" s="7" t="s">
        <x:v>2</x:v>
      </x:c>
      <x:c r="I48" s="11">
        <x:f>VLOOKUP(H48,Sheet2!$M:$S,7,0)</x:f>
        <x:v>8.6435083756822912</x:v>
      </x:c>
      <x:c r="J48" s="4">
        <x:f>RANK(I48,$I$2:$I$68)</x:f>
        <x:v>47</x:v>
      </x:c>
    </x:row>
    <x:row r="49" spans="8:10">
      <x:c r="H49" s="7" t="s">
        <x:v>70</x:v>
      </x:c>
      <x:c r="I49" s="11">
        <x:f>VLOOKUP(H49,Sheet2!$M:$S,7,0)</x:f>
        <x:v>3.290909090909091</x:v>
      </x:c>
      <x:c r="J49" s="4">
        <x:f>RANK(I49,$I$2:$I$68)</x:f>
        <x:v>48</x:v>
      </x:c>
    </x:row>
    <x:row r="50" spans="8:10">
      <x:c r="H50" s="7" t="s">
        <x:v>79</x:v>
      </x:c>
      <x:c r="I50" s="11">
        <x:f>VLOOKUP(H50,Sheet2!$M:$S,7,0)</x:f>
        <x:v>0.029870129870129668</x:v>
      </x:c>
      <x:c r="J50" s="4">
        <x:f>RANK(I50,$I$2:$I$68)</x:f>
        <x:v>49</x:v>
      </x:c>
    </x:row>
    <x:row r="51" spans="8:10">
      <x:c r="H51" s="7" t="s">
        <x:v>20</x:v>
      </x:c>
      <x:c r="I51" s="11">
        <x:f>VLOOKUP(H51,Sheet2!$M:$S,7,0)</x:f>
        <x:v>-0.52920289855072422</x:v>
      </x:c>
      <x:c r="J51" s="4">
        <x:f>RANK(I51,$I$2:$I$68)</x:f>
        <x:v>50</x:v>
      </x:c>
    </x:row>
    <x:row r="52" spans="8:10">
      <x:c r="H52" s="4" t="s">
        <x:v>38</x:v>
      </x:c>
      <x:c r="I52" s="11">
        <x:f>VLOOKUP(H52,Sheet2!$M:$S,7,0)</x:f>
        <x:v>-1.7031250000000004</x:v>
      </x:c>
      <x:c r="J52" s="4">
        <x:f>RANK(I52,$I$2:$I$68)</x:f>
        <x:v>51</x:v>
      </x:c>
    </x:row>
    <x:row r="53" spans="8:10">
      <x:c r="H53" s="7" t="s">
        <x:v>55</x:v>
      </x:c>
      <x:c r="I53" s="11">
        <x:f>VLOOKUP(H53,Sheet2!$M:$S,7,0)</x:f>
        <x:v>-2.8833333333333329</x:v>
      </x:c>
      <x:c r="J53" s="4">
        <x:f>RANK(I53,$I$2:$I$68)</x:f>
        <x:v>52</x:v>
      </x:c>
    </x:row>
    <x:row r="54" spans="8:10">
      <x:c r="H54" s="7" t="s">
        <x:v>89</x:v>
      </x:c>
      <x:c r="I54" s="11">
        <x:f>VLOOKUP(H54,Sheet2!$M:$S,7,0)</x:f>
        <x:v>-4.3235849056603808</x:v>
      </x:c>
      <x:c r="J54" s="4">
        <x:f>RANK(I54,$I$2:$I$68)</x:f>
        <x:v>53</x:v>
      </x:c>
    </x:row>
    <x:row r="55" spans="8:10">
      <x:c r="H55" s="7" t="s">
        <x:v>69</x:v>
      </x:c>
      <x:c r="I55" s="11">
        <x:f>VLOOKUP(H55,Sheet2!$M:$S,7,0)</x:f>
        <x:v>-5.6425925925925906</x:v>
      </x:c>
      <x:c r="J55" s="4">
        <x:f>RANK(I55,$I$2:$I$68)</x:f>
        <x:v>54</x:v>
      </x:c>
    </x:row>
    <x:row r="56" spans="8:10">
      <x:c r="H56" s="7" t="s">
        <x:v>71</x:v>
      </x:c>
      <x:c r="I56" s="11">
        <x:f>VLOOKUP(H56,Sheet2!$M:$S,7,0)</x:f>
        <x:v>-5.7362745098039198</x:v>
      </x:c>
      <x:c r="J56" s="4">
        <x:f>RANK(I56,$I$2:$I$68)</x:f>
        <x:v>55</x:v>
      </x:c>
    </x:row>
    <x:row r="57" spans="8:10">
      <x:c r="H57" s="7" t="s">
        <x:v>78</x:v>
      </x:c>
      <x:c r="I57" s="11">
        <x:f>VLOOKUP(H57,Sheet2!$M:$S,7,0)</x:f>
        <x:v>-6.7166666666666686</x:v>
      </x:c>
      <x:c r="J57" s="4">
        <x:f>RANK(I57,$I$2:$I$68)</x:f>
        <x:v>56</x:v>
      </x:c>
    </x:row>
    <x:row r="58" spans="8:10">
      <x:c r="H58" s="7" t="s">
        <x:v>68</x:v>
      </x:c>
      <x:c r="I58" s="11">
        <x:f>VLOOKUP(H58,Sheet2!$M:$S,7,0)</x:f>
        <x:v>-6.7913793103448263</x:v>
      </x:c>
      <x:c r="J58" s="4">
        <x:f>RANK(I58,$I$2:$I$68)</x:f>
        <x:v>57</x:v>
      </x:c>
    </x:row>
    <x:row r="59" spans="8:10">
      <x:c r="H59" s="7" t="s">
        <x:v>56</x:v>
      </x:c>
      <x:c r="I59" s="11">
        <x:f>VLOOKUP(H59,Sheet2!$M:$S,7,0)</x:f>
        <x:v>-8.7904761904761894</x:v>
      </x:c>
      <x:c r="J59" s="4">
        <x:f>RANK(I59,$I$2:$I$68)</x:f>
        <x:v>58</x:v>
      </x:c>
    </x:row>
    <x:row r="60" spans="8:10">
      <x:c r="H60" s="7" t="s">
        <x:v>100</x:v>
      </x:c>
      <x:c r="I60" s="11">
        <x:f>VLOOKUP(H60,Sheet2!$M:$S,7,0)</x:f>
        <x:v>-10.292270531400968</x:v>
      </x:c>
      <x:c r="J60" s="4">
        <x:f>RANK(I60,$I$2:$I$68)</x:f>
        <x:v>59</x:v>
      </x:c>
    </x:row>
    <x:row r="61" spans="8:10">
      <x:c r="H61" s="7" t="s">
        <x:v>81</x:v>
      </x:c>
      <x:c r="I61" s="11">
        <x:f>VLOOKUP(H61,Sheet2!$M:$S,7,0)</x:f>
        <x:v>-10.847978436657687</x:v>
      </x:c>
      <x:c r="J61" s="4">
        <x:f>RANK(I61,$I$2:$I$68)</x:f>
        <x:v>60</x:v>
      </x:c>
    </x:row>
    <x:row r="62" spans="8:10">
      <x:c r="H62" s="4" t="s">
        <x:v>7</x:v>
      </x:c>
      <x:c r="I62" s="11">
        <x:f>VLOOKUP(H62,Sheet2!$M:$S,7,0)</x:f>
        <x:v>-12.18350168350168</x:v>
      </x:c>
      <x:c r="J62" s="4">
        <x:f>RANK(I62,$I$2:$I$68)</x:f>
        <x:v>61</x:v>
      </x:c>
    </x:row>
    <x:row r="63" spans="8:10">
      <x:c r="H63" s="7" t="s">
        <x:v>57</x:v>
      </x:c>
      <x:c r="I63" s="11">
        <x:f>VLOOKUP(H63,Sheet2!$M:$S,7,0)</x:f>
        <x:v>-12.732275132275129</x:v>
      </x:c>
      <x:c r="J63" s="4">
        <x:f>RANK(I63,$I$2:$I$68)</x:f>
        <x:v>62</x:v>
      </x:c>
    </x:row>
    <x:row r="64" spans="8:10">
      <x:c r="H64" s="7" t="s">
        <x:v>62</x:v>
      </x:c>
      <x:c r="I64" s="11">
        <x:f>VLOOKUP(H64,Sheet2!$M:$S,7,0)</x:f>
        <x:v>-12.866106442577028</x:v>
      </x:c>
      <x:c r="J64" s="4">
        <x:f>RANK(I64,$I$2:$I$68)</x:f>
        <x:v>63</x:v>
      </x:c>
    </x:row>
    <x:row r="65" spans="8:10">
      <x:c r="H65" s="7" t="s">
        <x:v>54</x:v>
      </x:c>
      <x:c r="I65" s="11">
        <x:f>VLOOKUP(H65,Sheet2!$M:$S,7,0)</x:f>
        <x:v>-14.266666666666669</x:v>
      </x:c>
      <x:c r="J65" s="4">
        <x:f>RANK(I65,$I$2:$I$68)</x:f>
        <x:v>64</x:v>
      </x:c>
    </x:row>
    <x:row r="66" spans="8:10">
      <x:c r="H66" s="7" t="s">
        <x:v>77</x:v>
      </x:c>
      <x:c r="I66" s="11">
        <x:f>VLOOKUP(H66,Sheet2!$M:$S,7,0)</x:f>
        <x:v>-14.373399014778323</x:v>
      </x:c>
      <x:c r="J66" s="4">
        <x:f>RANK(I66,$I$2:$I$68)</x:f>
        <x:v>65</x:v>
      </x:c>
    </x:row>
    <x:row r="67" spans="8:10">
      <x:c r="H67" s="4" t="s">
        <x:v>14</x:v>
      </x:c>
      <x:c r="I67" s="11">
        <x:f>VLOOKUP(H67,Sheet2!$M:$S,7,0)</x:f>
        <x:v>-19.39337719993658</x:v>
      </x:c>
      <x:c r="J67" s="4">
        <x:f>RANK(I67,$I$2:$I$68)</x:f>
        <x:v>66</x:v>
      </x:c>
    </x:row>
    <x:row r="68" spans="8:10">
      <x:c r="H68" s="4" t="s">
        <x:v>48</x:v>
      </x:c>
      <x:c r="I68" s="11">
        <x:f>VLOOKUP(H68,Sheet2!$M:$S,7,0)</x:f>
        <x:v>-20.82627450980392</x:v>
      </x:c>
      <x:c r="J68" s="4">
        <x:f>RANK(I68,$I$2:$I$68)</x:f>
        <x:v>67</x:v>
      </x:c>
    </x:row>
  </x:sheetData>
  <x:sheetProtection sheet="0" objects="0" scenarios="0" formatCells="1" formatColumns="1" formatRows="1" insertColumns="1" insertRows="1" insertHyperlinks="1" deleteColumns="1" deleteRows="1" selectLockedCells="0" sort="0" autoFilter="1" pivotTables="1" selectUnlockedCells="0"/>
  <x:autoFilter ref="H1:J68">
    <x:sortState columnSort="0" caseSensitive="0" ref="H2:J68">
      <x:sortCondition descending="0" sortBy="value" ref="J2:J68"/>
    </x:sortState>
  </x:autoFilter>
  <x:conditionalFormatting sqref="D2:D108">
    <x:cfRule type="duplicateValues" dxfId="12" priority="437"/>
  </x:conditionalFormatting>
  <x:conditionalFormatting sqref="D106:D108">
    <x:cfRule type="duplicateValues" dxfId="12" priority="436"/>
  </x:conditionalFormatting>
  <x:conditionalFormatting sqref="H70:H72">
    <x:cfRule type="duplicateValues" dxfId="12" priority="392"/>
  </x:conditionalFormatting>
  <x:conditionalFormatting sqref="H73:H75">
    <x:cfRule type="duplicateValues" dxfId="12" priority="391"/>
  </x:conditionalFormatting>
  <x:conditionalFormatting sqref="H76:H78">
    <x:cfRule type="duplicateValues" dxfId="12" priority="390"/>
  </x:conditionalFormatting>
  <x:conditionalFormatting sqref="H79:H81">
    <x:cfRule type="duplicateValues" dxfId="12" priority="389"/>
  </x:conditionalFormatting>
  <x:conditionalFormatting sqref="H82:H84">
    <x:cfRule type="duplicateValues" dxfId="12" priority="388"/>
  </x:conditionalFormatting>
  <x:conditionalFormatting sqref="H85:H87">
    <x:cfRule type="duplicateValues" dxfId="12" priority="387"/>
  </x:conditionalFormatting>
  <x:conditionalFormatting sqref="H88:H90">
    <x:cfRule type="duplicateValues" dxfId="12" priority="386"/>
  </x:conditionalFormatting>
  <x:conditionalFormatting sqref="H91:H93">
    <x:cfRule type="duplicateValues" dxfId="12" priority="385"/>
  </x:conditionalFormatting>
  <x:conditionalFormatting sqref="H94:H126">
    <x:cfRule type="duplicateValues" dxfId="12" priority="384"/>
  </x:conditionalFormatting>
  <x:conditionalFormatting sqref="H97:H99 H106:H108 H115:H117">
    <x:cfRule type="duplicateValues" dxfId="12" priority="383"/>
  </x:conditionalFormatting>
  <x:conditionalFormatting sqref="H100:H102 H109:H111 H118:H126">
    <x:cfRule type="duplicateValues" dxfId="12" priority="382"/>
  </x:conditionalFormatting>
  <x:conditionalFormatting sqref="H103:H105">
    <x:cfRule type="duplicateValues" dxfId="12" priority="381"/>
  </x:conditionalFormatting>
  <x:conditionalFormatting sqref="H106:H108">
    <x:cfRule type="duplicateValues" dxfId="12" priority="380"/>
  </x:conditionalFormatting>
  <x:conditionalFormatting sqref="H109:H111">
    <x:cfRule type="duplicateValues" dxfId="12" priority="379"/>
  </x:conditionalFormatting>
  <x:conditionalFormatting sqref="H112:H114">
    <x:cfRule type="duplicateValues" dxfId="12" priority="378"/>
  </x:conditionalFormatting>
  <x:conditionalFormatting sqref="H115:H117">
    <x:cfRule type="duplicateValues" dxfId="12" priority="377"/>
  </x:conditionalFormatting>
  <x:conditionalFormatting sqref="H118:H126">
    <x:cfRule type="duplicateValues" dxfId="12" priority="376"/>
  </x:conditionalFormatting>
  <x:conditionalFormatting sqref="H121:H123">
    <x:cfRule type="duplicateValues" dxfId="12" priority="375"/>
  </x:conditionalFormatting>
  <x:conditionalFormatting sqref="H124:H126">
    <x:cfRule type="duplicateValues" dxfId="12" priority="374"/>
  </x:conditionalFormatting>
  <x:conditionalFormatting sqref="H127:H129">
    <x:cfRule type="duplicateValues" dxfId="12" priority="373"/>
  </x:conditionalFormatting>
  <x:conditionalFormatting sqref="H130:H132">
    <x:cfRule type="duplicateValues" dxfId="12" priority="372"/>
  </x:conditionalFormatting>
  <x:conditionalFormatting sqref="H133:H135">
    <x:cfRule type="duplicateValues" dxfId="12" priority="371"/>
  </x:conditionalFormatting>
  <x:conditionalFormatting sqref="H136:H138">
    <x:cfRule type="duplicateValues" dxfId="12" priority="370"/>
  </x:conditionalFormatting>
  <x:conditionalFormatting sqref="H139:H141">
    <x:cfRule type="duplicateValues" dxfId="12" priority="369"/>
  </x:conditionalFormatting>
  <x:conditionalFormatting sqref="H142:H144">
    <x:cfRule type="duplicateValues" dxfId="12" priority="368"/>
  </x:conditionalFormatting>
  <x:conditionalFormatting sqref="H145:H147">
    <x:cfRule type="duplicateValues" dxfId="12" priority="367"/>
  </x:conditionalFormatting>
  <x:conditionalFormatting sqref="H148:H150">
    <x:cfRule type="duplicateValues" dxfId="12" priority="366"/>
  </x:conditionalFormatting>
  <x:conditionalFormatting sqref="H151:H153">
    <x:cfRule type="duplicateValues" dxfId="12" priority="365"/>
  </x:conditionalFormatting>
  <x:conditionalFormatting sqref="H154:H156">
    <x:cfRule type="duplicateValues" dxfId="12" priority="364"/>
  </x:conditionalFormatting>
  <x:conditionalFormatting sqref="H157:H159">
    <x:cfRule type="duplicateValues" dxfId="12" priority="363"/>
  </x:conditionalFormatting>
  <x:conditionalFormatting sqref="H160:H201">
    <x:cfRule type="duplicateValues" dxfId="12" priority="362"/>
  </x:conditionalFormatting>
  <x:conditionalFormatting sqref="H163:H165 H172:H174 H181:H183">
    <x:cfRule type="duplicateValues" dxfId="12" priority="361"/>
  </x:conditionalFormatting>
  <x:conditionalFormatting sqref="H166:H168 H175:H177 H184:H201">
    <x:cfRule type="duplicateValues" dxfId="12" priority="360"/>
  </x:conditionalFormatting>
  <x:conditionalFormatting sqref="H169:H171">
    <x:cfRule type="duplicateValues" dxfId="12" priority="359"/>
  </x:conditionalFormatting>
  <x:conditionalFormatting sqref="H172:H174">
    <x:cfRule type="duplicateValues" dxfId="12" priority="358"/>
  </x:conditionalFormatting>
  <x:conditionalFormatting sqref="H175:H177">
    <x:cfRule type="duplicateValues" dxfId="12" priority="357"/>
  </x:conditionalFormatting>
  <x:conditionalFormatting sqref="H178:H180">
    <x:cfRule type="duplicateValues" dxfId="12" priority="356"/>
  </x:conditionalFormatting>
  <x:conditionalFormatting sqref="H181:H183">
    <x:cfRule type="duplicateValues" dxfId="12" priority="355"/>
  </x:conditionalFormatting>
  <x:conditionalFormatting sqref="H184:H201">
    <x:cfRule type="duplicateValues" dxfId="12" priority="354"/>
  </x:conditionalFormatting>
  <x:conditionalFormatting sqref="H187:H189">
    <x:cfRule type="duplicateValues" dxfId="12" priority="353"/>
  </x:conditionalFormatting>
  <x:conditionalFormatting sqref="H190:H201">
    <x:cfRule type="duplicateValues" dxfId="12" priority="352"/>
  </x:conditionalFormatting>
  <x:conditionalFormatting sqref="H193:H195">
    <x:cfRule type="duplicateValues" dxfId="12" priority="351"/>
  </x:conditionalFormatting>
  <x:conditionalFormatting sqref="H196:H198">
    <x:cfRule type="duplicateValues" dxfId="12" priority="350"/>
  </x:conditionalFormatting>
  <x:conditionalFormatting sqref="H199:H201">
    <x:cfRule type="duplicateValues" dxfId="12" priority="349"/>
  </x:conditionalFormatting>
  <x:conditionalFormatting sqref="H7:H9 H20:H20 H34:H34 H52:H52 H2:H2 H14:H16">
    <x:cfRule type="duplicateValues" dxfId="12" priority="167"/>
  </x:conditionalFormatting>
  <x:conditionalFormatting sqref="H13:H15 H5:H5 H37:H37 H53:H53 H3:H3 H11:H11 H19:H19 H27:H27 H29:H29 H31:H31">
    <x:cfRule type="duplicateValues" dxfId="12" priority="118"/>
  </x:conditionalFormatting>
  <x:conditionalFormatting sqref="H16:H18 H3:H4 H68:H68 H6:H7 H34:H35 H37:H37">
    <x:cfRule type="duplicateValues" dxfId="12" priority="97"/>
  </x:conditionalFormatting>
  <x:conditionalFormatting sqref="H67:H69 H11:H11 H24:H24 H36:H36 H43:H43">
    <x:cfRule type="duplicateValues" dxfId="12" priority="82"/>
  </x:conditionalFormatting>
  <x:conditionalFormatting sqref="H22:H24 H16:H16 H26:H26 H10:H10 H34:H34 H36:H36 H40:H40 H46:H46">
    <x:cfRule type="duplicateValues" dxfId="12" priority="71"/>
  </x:conditionalFormatting>
  <x:conditionalFormatting sqref="H46:H46 H40:H40 H18:H18 H48:H48">
    <x:cfRule type="duplicateValues" dxfId="12" priority="66"/>
  </x:conditionalFormatting>
  <x:conditionalFormatting sqref="H30:H33 H21:H21 H28:H28 H45:H45 H17:H17 H39:H39 H50:H51">
    <x:cfRule type="duplicateValues" dxfId="12" priority="55"/>
  </x:conditionalFormatting>
  <x:conditionalFormatting sqref="H65:H65 H46:H46 H18:H18 H52:H52">
    <x:cfRule type="duplicateValues" dxfId="12" priority="53"/>
  </x:conditionalFormatting>
  <x:conditionalFormatting sqref="H2:H4 H49:H49 H65:H65 H6:H6 H41:H41 H52:H52">
    <x:cfRule type="duplicateValues" dxfId="12" priority="52"/>
  </x:conditionalFormatting>
  <x:conditionalFormatting sqref="H34:H36 H13:H14 H41:H41 H2:H2 H8:H8 H27:H29 H54:H54">
    <x:cfRule type="duplicateValues" dxfId="12" priority="47"/>
  </x:conditionalFormatting>
  <x:conditionalFormatting sqref="H40:H42 H10:H10 H54:H55 H22:H22 H33:H33 H44:H44 H48:H48">
    <x:cfRule type="duplicateValues" dxfId="12" priority="46"/>
  </x:conditionalFormatting>
  <x:conditionalFormatting sqref="H37:H39 H19:H19 H30:H30 H43:H43 H3:H3 H21:H21 H49:H49 H53:H53 H55:H55">
    <x:cfRule type="duplicateValues" dxfId="12" priority="43"/>
  </x:conditionalFormatting>
  <x:conditionalFormatting sqref="H43:H45 H2:H2 H32:H33 H35:H35 H4:H4 H28:H28 H51:H51 H55:H56">
    <x:cfRule type="duplicateValues" dxfId="12" priority="41"/>
  </x:conditionalFormatting>
  <x:conditionalFormatting sqref="H28:H31 H44:H44 H47:H47 H5:H5 H17:H17 H49:H49 H56:H57">
    <x:cfRule type="duplicateValues" dxfId="12" priority="38"/>
  </x:conditionalFormatting>
  <x:conditionalFormatting sqref="H25:H27 H12:H12 H39:H39 H45:H48 H53:H53 H58:H58">
    <x:cfRule type="duplicateValues" dxfId="12" priority="34"/>
  </x:conditionalFormatting>
  <x:conditionalFormatting sqref="H53:H55 H18:H19 H29:H29 H62:H62 H5:H5 H23:H23 H37:H37 H44:H44 H60:H60">
    <x:cfRule type="duplicateValues" dxfId="12" priority="25"/>
  </x:conditionalFormatting>
  <x:conditionalFormatting sqref="H56:H58 H8:H9 H12:H12 H16:H16 H20:H20 H61:H62">
    <x:cfRule type="duplicateValues" dxfId="12" priority="21"/>
  </x:conditionalFormatting>
  <x:conditionalFormatting sqref="H19:H21 H15:H15 H25:H25 H58:H58 H9:H9 H31:H31 H38:H39 H45:H45 H62:H62">
    <x:cfRule type="duplicateValues" dxfId="12" priority="19"/>
  </x:conditionalFormatting>
  <x:conditionalFormatting sqref="H2:H58 H66:H72 H60:H60 H62:H62">
    <x:cfRule type="duplicateValues" dxfId="12" priority="20"/>
  </x:conditionalFormatting>
  <x:conditionalFormatting sqref="H59:H61 H17:H17 H32:H32 H26:H26 H35:H35 H50:H50 H63:H64">
    <x:cfRule type="duplicateValues" dxfId="12" priority="15"/>
  </x:conditionalFormatting>
  <x:conditionalFormatting sqref="H50:H52 H38:H38 H61:H61 H63:H65 H15:H15 H21:H21 H42:H42 H59:H59">
    <x:cfRule type="duplicateValues" dxfId="12" priority="12"/>
  </x:conditionalFormatting>
  <x:conditionalFormatting sqref="H47:H49 H7:H7 H51:H51 H64:H64 H14:H14 H41:H41 H57:H59 H66:H66">
    <x:cfRule type="duplicateValues" dxfId="12" priority="9"/>
  </x:conditionalFormatting>
  <x:conditionalFormatting sqref="H62:H67 H6:H6 H59:H59 H13:H13 H23:H23 H26:H26 H43:H43">
    <x:cfRule type="duplicateValues" dxfId="12" priority="7"/>
  </x:conditionalFormatting>
  <x:conditionalFormatting sqref="H46:H67 H5:H9 H12:H21 H29:H29 H32:H32 H37:H38 H23:H23 H26:H26 H35:H35 H41:H44">
    <x:cfRule type="duplicateValues" dxfId="12" priority="8"/>
  </x:conditionalFormatting>
  <x:conditionalFormatting sqref="H66:H67 H54:H54 H60:H60">
    <x:cfRule type="duplicateValues" dxfId="12" priority="6"/>
  </x:conditionalFormatting>
  <x:conditionalFormatting sqref="H10:H12 H36:H36 H56:H56 H66:H67 H8:H8 H22:H22 H24:H25">
    <x:cfRule type="duplicateValues" dxfId="12" priority="4"/>
  </x:conditionalFormatting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S202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9"/>
  <x:cols>
    <x:col min="1" max="1" width="10.73046875" style="3" bestFit="1" customWidth="1"/>
    <x:col min="2" max="7" width="8.796875" style="3" bestFit="1" customWidth="1"/>
    <x:col min="8" max="8" width="8.796875" style="12" bestFit="1" customWidth="1"/>
    <x:col min="10" max="10" width="8.796875" style="1" hidden="1"/>
    <x:col min="11" max="11" width="8.796875" style="1" hidden="1" bestFit="1" customWidth="1"/>
    <x:col min="13" max="13" width="18.24609375" style="1" bestFit="1" customWidth="1"/>
    <x:col min="14" max="17" width="10.73046875" style="1" bestFit="1" customWidth="1"/>
    <x:col min="18" max="18" width="8.796875" style="1" bestFit="1" customWidth="1"/>
    <x:col min="19" max="19" width="8.796875" style="10" bestFit="1" customWidth="1"/>
  </x:cols>
  <x:sheetData>
    <x:row r="1" spans="1:19">
      <x:c r="A1" s="2"/>
      <x:c r="B1" s="2">
        <x:v>1</x:v>
      </x:c>
      <x:c r="C1" s="2">
        <x:v>2</x:v>
      </x:c>
      <x:c r="D1" s="2">
        <x:v>3</x:v>
      </x:c>
      <x:c r="E1" s="2">
        <x:v>4</x:v>
      </x:c>
      <x:c r="F1" s="2">
        <x:v>5</x:v>
      </x:c>
      <x:c r="G1" s="2">
        <x:v>6</x:v>
      </x:c>
      <x:c r="H1" s="11" t="s">
        <x:v>24</x:v>
      </x:c>
      <x:c r="M1" s="2"/>
      <x:c r="N1" s="2">
        <x:v>1</x:v>
      </x:c>
      <x:c r="O1" s="2">
        <x:v>2</x:v>
      </x:c>
      <x:c r="P1" s="2">
        <x:v>3</x:v>
      </x:c>
      <x:c r="Q1" s="2">
        <x:v>4</x:v>
      </x:c>
      <x:c r="R1" s="2">
        <x:v>5</x:v>
      </x:c>
      <x:c r="S1" s="11" t="s">
        <x:v>24</x:v>
      </x:c>
    </x:row>
    <x:row r="2" spans="1:19">
      <x:c r="A2" s="8" t="s">
        <x:v>112</x:v>
      </x:c>
      <x:c r="B2" s="2" t="s">
        <x:v>37</x:v>
      </x:c>
      <x:c r="C2" s="2" t="s">
        <x:v>93</x:v>
      </x:c>
      <x:c r="D2" s="2" t="s">
        <x:v>15</x:v>
      </x:c>
      <x:c r="E2" s="2" t="s">
        <x:v>98</x:v>
      </x:c>
      <x:c r="F2" s="2"/>
      <x:c r="G2" s="2"/>
      <x:c r="H2" s="17">
        <x:f>SUMPRODUCT(B3:G3,B4:G4)/SUM(B3:G3)</x:f>
        <x:v>-16.666666666666664</x:v>
      </x:c>
      <x:c r="J2" s="1" t="s">
        <x:v>37</x:v>
      </x:c>
      <x:c r="K2" s="1">
        <x:f>COUNTIF(B:G,J2)</x:f>
        <x:v>21</x:v>
      </x:c>
      <x:c r="M2" s="8" t="s">
        <x:v>38</x:v>
      </x:c>
      <x:c r="N2" s="2" t="s">
        <x:v>105</x:v>
      </x:c>
      <x:c r="O2" s="2" t="s">
        <x:v>107</x:v>
      </x:c>
      <x:c r="P2" s="2" t="s">
        <x:v>35</x:v>
      </x:c>
      <x:c r="Q2" s="2" t="s">
        <x:v>96</x:v>
      </x:c>
      <x:c r="R2" s="2"/>
      <x:c r="S2" s="17">
        <x:f>SUMPRODUCT(N3:R3,N4:R4)/SUM(N3:R3)</x:f>
        <x:v>-1.7031250000000004</x:v>
      </x:c>
    </x:row>
    <x:row r="3" spans="1:19">
      <x:c r="A3" s="8"/>
      <x:c r="B3" s="2">
        <x:v>0.90000000000000002</x:v>
      </x:c>
      <x:c r="C3" s="2">
        <x:v>0.69999999999999996</x:v>
      </x:c>
      <x:c r="D3" s="2">
        <x:v>0.80000000000000004</x:v>
      </x:c>
      <x:c r="E3" s="2">
        <x:v>0.90000000000000002</x:v>
      </x:c>
      <x:c r="F3" s="2"/>
      <x:c r="G3" s="2"/>
      <x:c r="H3" s="17"/>
      <x:c r="J3" s="1" t="s">
        <x:v>118</x:v>
      </x:c>
      <x:c r="K3" s="1">
        <x:f t="shared" ref="K3:K15" si="0">COUNTIF(B:G,J3)</x:f>
        <x:v>11</x:v>
      </x:c>
      <x:c r="M3" s="8"/>
      <x:c r="N3" s="2">
        <x:v>0.25</x:v>
      </x:c>
      <x:c r="O3" s="2">
        <x:v>0.25</x:v>
      </x:c>
      <x:c r="P3" s="2">
        <x:v>1</x:v>
      </x:c>
      <x:c r="Q3" s="2">
        <x:v>0.5</x:v>
      </x:c>
      <x:c r="R3" s="2"/>
      <x:c r="S3" s="17"/>
    </x:row>
    <x:row r="4" spans="1:19">
      <x:c r="A4" s="8"/>
      <x:c r="B4" s="2">
        <x:f>IFERROR(VLOOKUP(B2,Sheet1!$A$1:$B$15,2,0),"")</x:f>
        <x:v>-10</x:v>
      </x:c>
      <x:c r="C4" s="2">
        <x:f>IFERROR(VLOOKUP(C2,Sheet1!$A$1:$B$15,2,0),"")</x:f>
        <x:v>-73</x:v>
      </x:c>
      <x:c r="D4" s="2">
        <x:f>IFERROR(VLOOKUP(D2,Sheet1!$A$1:$B$15,2,0),"")</x:f>
        <x:v>-24</x:v>
      </x:c>
      <x:c r="E4" s="2">
        <x:f>IFERROR(VLOOKUP(E2,Sheet1!$A$1:$B$15,2,0),"")</x:f>
        <x:v>27</x:v>
      </x:c>
      <x:c r="F4" s="2" t="str">
        <x:f>IFERROR(VLOOKUP(F2,Sheet1!$A$1:$B$15,2,0),"")</x:f>
        <x:v/>
      </x:c>
      <x:c r="G4" s="2" t="str">
        <x:f>IFERROR(VLOOKUP(G2,Sheet1!$A$1:$B$15,2,0),"")</x:f>
        <x:v/>
      </x:c>
      <x:c r="H4" s="17"/>
      <x:c r="J4" s="1" t="s">
        <x:v>93</x:v>
      </x:c>
      <x:c r="K4" s="1">
        <x:f t="shared" si="0"/>
        <x:v>18</x:v>
      </x:c>
      <x:c r="M4" s="8"/>
      <x:c r="N4" s="2">
        <x:f>IFERROR(VLOOKUP(N2,$A$2:$H$109,8,0),"")</x:f>
        <x:v>45.125</x:v>
      </x:c>
      <x:c r="O4" s="2">
        <x:f t="shared" ref="O4:R4" si="1">IFERROR(VLOOKUP(O2,$A$2:$H$109,8,0),"")</x:f>
        <x:v>31.999999999999996</x:v>
      </x:c>
      <x:c r="P4" s="2">
        <x:f t="shared" si="1"/>
        <x:v>-30.625</x:v>
      </x:c>
      <x:c r="Q4" s="2">
        <x:f t="shared" si="1"/>
        <x:v>15.874999999999998</x:v>
      </x:c>
      <x:c r="R4" s="2" t="str">
        <x:f t="shared" si="1"/>
        <x:v/>
      </x:c>
      <x:c r="S4" s="17"/>
    </x:row>
    <x:row r="5" spans="1:19">
      <x:c r="A5" s="8" t="s">
        <x:v>101</x:v>
      </x:c>
      <x:c r="B5" s="2" t="s">
        <x:v>37</x:v>
      </x:c>
      <x:c r="C5" s="2" t="s">
        <x:v>118</x:v>
      </x:c>
      <x:c r="D5" s="2" t="s">
        <x:v>93</x:v>
      </x:c>
      <x:c r="E5" s="2" t="s">
        <x:v>15</x:v>
      </x:c>
      <x:c r="F5" s="2"/>
      <x:c r="G5" s="2"/>
      <x:c r="H5" s="17">
        <x:f>SUMPRODUCT(B6:G6,B7:G7)/SUM(B6:G6)</x:f>
        <x:v>-22.18518518518518</x:v>
      </x:c>
      <x:c r="J5" s="1" t="s">
        <x:v>102</x:v>
      </x:c>
      <x:c r="K5" s="1">
        <x:f t="shared" si="0"/>
        <x:v>6</x:v>
      </x:c>
      <x:c r="M5" s="8" t="s">
        <x:v>11</x:v>
      </x:c>
      <x:c r="N5" s="2" t="s">
        <x:v>40</x:v>
      </x:c>
      <x:c r="O5" s="2" t="s">
        <x:v>96</x:v>
      </x:c>
      <x:c r="P5" s="2"/>
      <x:c r="Q5" s="2"/>
      <x:c r="R5" s="2"/>
      <x:c r="S5" s="17">
        <x:f>SUMPRODUCT(N6:R6,N7:R7)/SUM(N6:R6)</x:f>
        <x:v>14.954741379310347</x:v>
      </x:c>
    </x:row>
    <x:row r="6" spans="1:19">
      <x:c r="A6" s="8"/>
      <x:c r="B6" s="2">
        <x:v>0.80000000000000004</x:v>
      </x:c>
      <x:c r="C6" s="2">
        <x:v>1</x:v>
      </x:c>
      <x:c r="D6" s="2">
        <x:v>0.69999999999999996</x:v>
      </x:c>
      <x:c r="E6" s="2">
        <x:v>0.20000000000000001</x:v>
      </x:c>
      <x:c r="F6" s="2"/>
      <x:c r="G6" s="2"/>
      <x:c r="H6" s="17"/>
      <x:c r="J6" s="1" t="s">
        <x:v>99</x:v>
      </x:c>
      <x:c r="K6" s="1">
        <x:f t="shared" si="0"/>
        <x:v>2</x:v>
      </x:c>
      <x:c r="M6" s="8"/>
      <x:c r="N6" s="2">
        <x:v>1</x:v>
      </x:c>
      <x:c r="O6" s="2">
        <x:v>1</x:v>
      </x:c>
      <x:c r="P6" s="2"/>
      <x:c r="Q6" s="2"/>
      <x:c r="R6" s="2"/>
      <x:c r="S6" s="17"/>
    </x:row>
    <x:row r="7" spans="1:19">
      <x:c r="A7" s="8"/>
      <x:c r="B7" s="2">
        <x:f>IFERROR(VLOOKUP(B5,Sheet1!$A$1:$B$15,2,0),"")</x:f>
        <x:v>-10</x:v>
      </x:c>
      <x:c r="C7" s="2">
        <x:f>IFERROR(VLOOKUP(C5,Sheet1!$A$1:$B$15,2,0),"")</x:f>
        <x:v>4</x:v>
      </x:c>
      <x:c r="D7" s="2">
        <x:f>IFERROR(VLOOKUP(D5,Sheet1!$A$1:$B$15,2,0),"")</x:f>
        <x:v>-73</x:v>
      </x:c>
      <x:c r="E7" s="2">
        <x:f>IFERROR(VLOOKUP(E5,Sheet1!$A$1:$B$15,2,0),"")</x:f>
        <x:v>-24</x:v>
      </x:c>
      <x:c r="F7" s="2" t="str">
        <x:f>IFERROR(VLOOKUP(F5,Sheet1!$A$1:$B$15,2,0),"")</x:f>
        <x:v/>
      </x:c>
      <x:c r="G7" s="2" t="str">
        <x:f>IFERROR(VLOOKUP(G5,Sheet1!$A$1:$B$15,2,0),"")</x:f>
        <x:v/>
      </x:c>
      <x:c r="H7" s="17"/>
      <x:c r="J7" s="1" t="s">
        <x:v>15</x:v>
      </x:c>
      <x:c r="K7" s="1">
        <x:f t="shared" si="0"/>
        <x:v>15</x:v>
      </x:c>
      <x:c r="M7" s="8"/>
      <x:c r="N7" s="2">
        <x:f>IFERROR(VLOOKUP(N5,$A$2:$H$109,8,0),"")</x:f>
        <x:v>14.034482758620696</x:v>
      </x:c>
      <x:c r="O7" s="2">
        <x:f t="shared" ref="O7:R7" si="2">IFERROR(VLOOKUP(O5,$A$2:$H$109,8,0),"")</x:f>
        <x:v>15.874999999999998</x:v>
      </x:c>
      <x:c r="P7" s="2" t="str">
        <x:f t="shared" si="2"/>
        <x:v/>
      </x:c>
      <x:c r="Q7" s="2" t="str">
        <x:f t="shared" si="2"/>
        <x:v/>
      </x:c>
      <x:c r="R7" s="2" t="str">
        <x:f t="shared" si="2"/>
        <x:v/>
      </x:c>
      <x:c r="S7" s="17"/>
    </x:row>
    <x:row r="8" spans="1:19">
      <x:c r="A8" s="8" t="s">
        <x:v>94</x:v>
      </x:c>
      <x:c r="B8" s="2" t="s">
        <x:v>37</x:v>
      </x:c>
      <x:c r="C8" s="2" t="s">
        <x:v>118</x:v>
      </x:c>
      <x:c r="D8" s="2" t="s">
        <x:v>93</x:v>
      </x:c>
      <x:c r="E8" s="2"/>
      <x:c r="F8" s="2"/>
      <x:c r="G8" s="2"/>
      <x:c r="H8" s="17">
        <x:f>SUMPRODUCT(B9:G9,B10:G10)/SUM(B9:G9)</x:f>
        <x:v>-17.608695652173914</x:v>
      </x:c>
      <x:c r="J8" s="1" t="s">
        <x:v>50</x:v>
      </x:c>
      <x:c r="K8" s="1">
        <x:f t="shared" si="0"/>
        <x:v>10</x:v>
      </x:c>
      <x:c r="M8" s="8" t="s">
        <x:v>19</x:v>
      </x:c>
      <x:c r="N8" s="2" t="s">
        <x:v>40</x:v>
      </x:c>
      <x:c r="O8" s="2" t="s">
        <x:v>96</x:v>
      </x:c>
      <x:c r="P8" s="2"/>
      <x:c r="Q8" s="2"/>
      <x:c r="R8" s="2"/>
      <x:c r="S8" s="17">
        <x:f>SUMPRODUCT(N9:R9,N10:R10)/SUM(N9:R9)</x:f>
        <x:v>14.954741379310347</x:v>
      </x:c>
    </x:row>
    <x:row r="9" spans="1:19">
      <x:c r="A9" s="8"/>
      <x:c r="B9" s="2">
        <x:v>0.80000000000000004</x:v>
      </x:c>
      <x:c r="C9" s="2">
        <x:v>1</x:v>
      </x:c>
      <x:c r="D9" s="2">
        <x:v>0.5</x:v>
      </x:c>
      <x:c r="E9" s="2"/>
      <x:c r="F9" s="2"/>
      <x:c r="G9" s="2"/>
      <x:c r="H9" s="17"/>
      <x:c r="J9" s="1" t="s">
        <x:v>98</x:v>
      </x:c>
      <x:c r="K9" s="1">
        <x:f t="shared" si="0"/>
        <x:v>13</x:v>
      </x:c>
      <x:c r="M9" s="8"/>
      <x:c r="N9" s="2">
        <x:v>1</x:v>
      </x:c>
      <x:c r="O9" s="2">
        <x:v>1</x:v>
      </x:c>
      <x:c r="P9" s="2"/>
      <x:c r="Q9" s="2"/>
      <x:c r="R9" s="2"/>
      <x:c r="S9" s="17"/>
    </x:row>
    <x:row r="10" spans="1:19">
      <x:c r="A10" s="8"/>
      <x:c r="B10" s="2">
        <x:f>IFERROR(VLOOKUP(B8,Sheet1!$A$1:$B$15,2,0),"")</x:f>
        <x:v>-10</x:v>
      </x:c>
      <x:c r="C10" s="2">
        <x:f>IFERROR(VLOOKUP(C8,Sheet1!$A$1:$B$15,2,0),"")</x:f>
        <x:v>4</x:v>
      </x:c>
      <x:c r="D10" s="2">
        <x:f>IFERROR(VLOOKUP(D8,Sheet1!$A$1:$B$15,2,0),"")</x:f>
        <x:v>-73</x:v>
      </x:c>
      <x:c r="E10" s="2" t="str">
        <x:f>IFERROR(VLOOKUP(E8,Sheet1!$A$1:$B$15,2,0),"")</x:f>
        <x:v/>
      </x:c>
      <x:c r="F10" s="2" t="str">
        <x:f>IFERROR(VLOOKUP(F8,Sheet1!$A$1:$B$15,2,0),"")</x:f>
        <x:v/>
      </x:c>
      <x:c r="G10" s="2" t="str">
        <x:f>IFERROR(VLOOKUP(G8,Sheet1!$A$1:$B$15,2,0),"")</x:f>
        <x:v/>
      </x:c>
      <x:c r="H10" s="17"/>
      <x:c r="J10" s="1" t="s">
        <x:v>6</x:v>
      </x:c>
      <x:c r="K10" s="1">
        <x:f t="shared" si="0"/>
        <x:v>10</x:v>
      </x:c>
      <x:c r="M10" s="8"/>
      <x:c r="N10" s="2">
        <x:f>IFERROR(VLOOKUP(N8,$A$2:$H$109,8,0),"")</x:f>
        <x:v>14.034482758620696</x:v>
      </x:c>
      <x:c r="O10" s="2">
        <x:f>IFERROR(VLOOKUP(O8,$A$2:$H$109,8,0),"")</x:f>
        <x:v>15.874999999999998</x:v>
      </x:c>
      <x:c r="P10" s="2" t="str">
        <x:f>IFERROR(VLOOKUP(P8,$A$2:$H$109,8,0),"")</x:f>
        <x:v/>
      </x:c>
      <x:c r="Q10" s="2" t="str">
        <x:f>IFERROR(VLOOKUP(Q8,$A$2:$H$109,8,0),"")</x:f>
        <x:v/>
      </x:c>
      <x:c r="R10" s="2" t="str">
        <x:f>IFERROR(VLOOKUP(R8,$A$2:$H$109,8,0),"")</x:f>
        <x:v/>
      </x:c>
      <x:c r="S10" s="17"/>
    </x:row>
    <x:row r="11" spans="1:19">
      <x:c r="A11" s="8" t="s">
        <x:v>34</x:v>
      </x:c>
      <x:c r="B11" s="2" t="s">
        <x:v>37</x:v>
      </x:c>
      <x:c r="C11" s="2" t="s">
        <x:v>118</x:v>
      </x:c>
      <x:c r="D11" s="2" t="s">
        <x:v>104</x:v>
      </x:c>
      <x:c r="E11" s="2" t="s">
        <x:v>110</x:v>
      </x:c>
      <x:c r="F11" s="2"/>
      <x:c r="G11" s="2"/>
      <x:c r="H11" s="17">
        <x:f>SUMPRODUCT(B12:G12,B13:G13)/SUM(B12:G12)</x:f>
        <x:v>37.133333333333333</x:v>
      </x:c>
      <x:c r="J11" s="1" t="s">
        <x:v>114</x:v>
      </x:c>
      <x:c r="K11" s="1">
        <x:f t="shared" si="0"/>
        <x:v>5</x:v>
      </x:c>
      <x:c r="M11" s="8" t="s">
        <x:v>17</x:v>
      </x:c>
      <x:c r="N11" s="2" t="s">
        <x:v>45</x:v>
      </x:c>
      <x:c r="O11" s="2" t="s">
        <x:v>96</x:v>
      </x:c>
      <x:c r="P11" s="2"/>
      <x:c r="Q11" s="2"/>
      <x:c r="R11" s="2"/>
      <x:c r="S11" s="17">
        <x:f>SUMPRODUCT(N12:R12,N13:R13)/SUM(N12:R12)</x:f>
        <x:v>37.420258620689658</x:v>
      </x:c>
    </x:row>
    <x:row r="12" spans="1:19">
      <x:c r="A12" s="8"/>
      <x:c r="B12" s="2">
        <x:v>0.80000000000000004</x:v>
      </x:c>
      <x:c r="C12" s="2">
        <x:v>0.5</x:v>
      </x:c>
      <x:c r="D12" s="2">
        <x:v>0.90000000000000002</x:v>
      </x:c>
      <x:c r="E12" s="2">
        <x:v>0.80000000000000004</x:v>
      </x:c>
      <x:c r="F12" s="2"/>
      <x:c r="G12" s="2"/>
      <x:c r="H12" s="17"/>
      <x:c r="J12" s="1" t="s">
        <x:v>103</x:v>
      </x:c>
      <x:c r="K12" s="1">
        <x:f t="shared" si="0"/>
        <x:v>4</x:v>
      </x:c>
      <x:c r="M12" s="8"/>
      <x:c r="N12" s="2">
        <x:v>1</x:v>
      </x:c>
      <x:c r="O12" s="2">
        <x:v>1</x:v>
      </x:c>
      <x:c r="P12" s="2"/>
      <x:c r="Q12" s="2"/>
      <x:c r="R12" s="2"/>
      <x:c r="S12" s="17"/>
    </x:row>
    <x:row r="13" spans="1:19">
      <x:c r="A13" s="8"/>
      <x:c r="B13" s="2">
        <x:f>IFERROR(VLOOKUP(B11,Sheet1!$A$1:$B$15,2,0),"")</x:f>
        <x:v>-10</x:v>
      </x:c>
      <x:c r="C13" s="2">
        <x:f>IFERROR(VLOOKUP(C11,Sheet1!$A$1:$B$15,2,0),"")</x:f>
        <x:v>4</x:v>
      </x:c>
      <x:c r="D13" s="2">
        <x:f>IFERROR(VLOOKUP(D11,Sheet1!$A$1:$B$15,2,0),"")</x:f>
        <x:v>166</x:v>
      </x:c>
      <x:c r="E13" s="2">
        <x:f>IFERROR(VLOOKUP(E11,Sheet1!$A$1:$B$15,2,0),"")</x:f>
        <x:v>-40</x:v>
      </x:c>
      <x:c r="F13" s="2" t="str">
        <x:f>IFERROR(VLOOKUP(F11,Sheet1!$A$1:$B$15,2,0),"")</x:f>
        <x:v/>
      </x:c>
      <x:c r="G13" s="2" t="str">
        <x:f>IFERROR(VLOOKUP(G11,Sheet1!$A$1:$B$15,2,0),"")</x:f>
        <x:v/>
      </x:c>
      <x:c r="H13" s="17"/>
      <x:c r="J13" s="1" t="s">
        <x:v>104</x:v>
      </x:c>
      <x:c r="K13" s="1">
        <x:f t="shared" si="0"/>
        <x:v>10</x:v>
      </x:c>
      <x:c r="M13" s="8"/>
      <x:c r="N13" s="2">
        <x:f>IFERROR(VLOOKUP(N11,$A$2:$H$109,8,0),"")</x:f>
        <x:v>58.965517241379324</x:v>
      </x:c>
      <x:c r="O13" s="2">
        <x:f>IFERROR(VLOOKUP(O11,$A$2:$H$109,8,0),"")</x:f>
        <x:v>15.874999999999998</x:v>
      </x:c>
      <x:c r="P13" s="2" t="str">
        <x:f>IFERROR(VLOOKUP(P11,$A$2:$H$109,8,0),"")</x:f>
        <x:v/>
      </x:c>
      <x:c r="Q13" s="2" t="str">
        <x:f>IFERROR(VLOOKUP(Q11,$A$2:$H$109,8,0),"")</x:f>
        <x:v/>
      </x:c>
      <x:c r="R13" s="2" t="str">
        <x:f>IFERROR(VLOOKUP(R11,$A$2:$H$109,8,0),"")</x:f>
        <x:v/>
      </x:c>
      <x:c r="S13" s="17"/>
    </x:row>
    <x:row r="14" spans="1:19">
      <x:c r="A14" s="8" t="s">
        <x:v>42</x:v>
      </x:c>
      <x:c r="B14" s="2" t="s">
        <x:v>37</x:v>
      </x:c>
      <x:c r="C14" s="2" t="s">
        <x:v>102</x:v>
      </x:c>
      <x:c r="D14" s="2" t="s">
        <x:v>6</x:v>
      </x:c>
      <x:c r="E14" s="2" t="s">
        <x:v>104</x:v>
      </x:c>
      <x:c r="F14" s="2" t="s">
        <x:v>110</x:v>
      </x:c>
      <x:c r="G14" s="2"/>
      <x:c r="H14" s="17">
        <x:f>SUMPRODUCT(B15:G15,B16:G16)/SUM(B15:G15)</x:f>
        <x:v>36.242424242424249</x:v>
      </x:c>
      <x:c r="J14" s="1" t="s">
        <x:v>108</x:v>
      </x:c>
      <x:c r="K14" s="1">
        <x:f t="shared" si="0"/>
        <x:v>6</x:v>
      </x:c>
      <x:c r="M14" s="8" t="s">
        <x:v>106</x:v>
      </x:c>
      <x:c r="N14" s="2" t="s">
        <x:v>47</x:v>
      </x:c>
      <x:c r="O14" s="2" t="s">
        <x:v>109</x:v>
      </x:c>
      <x:c r="P14" s="2" t="s">
        <x:v>6</x:v>
      </x:c>
      <x:c r="Q14" s="2" t="s">
        <x:v>96</x:v>
      </x:c>
      <x:c r="R14" s="2"/>
      <x:c r="S14" s="17">
        <x:f>SUMPRODUCT(N15:R15,N16:R16)/SUM(N15:R15)</x:f>
        <x:v>10.664276299350327</x:v>
      </x:c>
    </x:row>
    <x:row r="15" spans="1:19">
      <x:c r="A15" s="8"/>
      <x:c r="B15" s="2">
        <x:v>0.80000000000000004</x:v>
      </x:c>
      <x:c r="C15" s="2">
        <x:v>0.40000000000000002</x:v>
      </x:c>
      <x:c r="D15" s="2">
        <x:v>0.69999999999999996</x:v>
      </x:c>
      <x:c r="E15" s="2">
        <x:v>0.80000000000000004</x:v>
      </x:c>
      <x:c r="F15" s="2">
        <x:v>0.59999999999999998</x:v>
      </x:c>
      <x:c r="G15" s="2"/>
      <x:c r="H15" s="17"/>
      <x:c r="J15" s="1" t="s">
        <x:v>110</x:v>
      </x:c>
      <x:c r="K15" s="1">
        <x:f t="shared" si="0"/>
        <x:v>12</x:v>
      </x:c>
      <x:c r="M15" s="8"/>
      <x:c r="N15" s="2">
        <x:v>1</x:v>
      </x:c>
      <x:c r="O15" s="2">
        <x:v>0.20000000000000001</x:v>
      </x:c>
      <x:c r="P15" s="2">
        <x:v>0.5</x:v>
      </x:c>
      <x:c r="Q15" s="2">
        <x:v>0.69999999999999996</x:v>
      </x:c>
      <x:c r="R15" s="2"/>
      <x:c r="S15" s="17"/>
    </x:row>
    <x:row r="16" spans="1:19">
      <x:c r="A16" s="8"/>
      <x:c r="B16" s="2">
        <x:f>IFERROR(VLOOKUP(B14,Sheet1!$A$1:$B$15,2,0),"")</x:f>
        <x:v>-10</x:v>
      </x:c>
      <x:c r="C16" s="2">
        <x:f>IFERROR(VLOOKUP(C14,Sheet1!$A$1:$B$15,2,0),"")</x:f>
        <x:v>26</x:v>
      </x:c>
      <x:c r="D16" s="2">
        <x:f>IFERROR(VLOOKUP(D14,Sheet1!$A$1:$B$15,2,0),"")</x:f>
        <x:v>12</x:v>
      </x:c>
      <x:c r="E16" s="2">
        <x:f>IFERROR(VLOOKUP(E14,Sheet1!$A$1:$B$15,2,0),"")</x:f>
        <x:v>166</x:v>
      </x:c>
      <x:c r="F16" s="2">
        <x:f>IFERROR(VLOOKUP(F14,Sheet1!$A$1:$B$15,2,0),"")</x:f>
        <x:v>-40</x:v>
      </x:c>
      <x:c r="G16" s="2" t="str">
        <x:f>IFERROR(VLOOKUP(G14,Sheet1!$A$1:$B$15,2,0),"")</x:f>
        <x:v/>
      </x:c>
      <x:c r="H16" s="17"/>
      <x:c r="M16" s="8"/>
      <x:c r="N16" s="2">
        <x:f>IFERROR(VLOOKUP(N14,$A$2:$H$109,8,0),"")</x:f>
        <x:v>-24.482758620689651</x:v>
      </x:c>
      <x:c r="O16" s="2">
        <x:f>IFERROR(VLOOKUP(O14,$A$2:$H$109,8,0),"")</x:f>
        <x:v>45.040000000000006</x:v>
      </x:c>
      <x:c r="P16" s="2">
        <x:f>IFERROR(VLOOKUP(P14,$A$2:$H$109,8,0),"")</x:f>
        <x:v>59.913043478260867</x:v>
      </x:c>
      <x:c r="Q16" s="2">
        <x:f>IFERROR(VLOOKUP(Q14,$A$2:$H$109,8,0),"")</x:f>
        <x:v>15.874999999999998</x:v>
      </x:c>
      <x:c r="R16" s="2" t="str">
        <x:f>IFERROR(VLOOKUP(R14,$A$2:$H$109,8,0),"")</x:f>
        <x:v/>
      </x:c>
      <x:c r="S16" s="17"/>
    </x:row>
    <x:row r="17" spans="1:19">
      <x:c r="A17" s="8" t="s">
        <x:v>117</x:v>
      </x:c>
      <x:c r="B17" s="2" t="s">
        <x:v>37</x:v>
      </x:c>
      <x:c r="C17" s="2" t="s">
        <x:v>118</x:v>
      </x:c>
      <x:c r="D17" s="2" t="s">
        <x:v>6</x:v>
      </x:c>
      <x:c r="E17" s="2" t="s">
        <x:v>108</x:v>
      </x:c>
      <x:c r="F17" s="2"/>
      <x:c r="G17" s="2"/>
      <x:c r="H17" s="17">
        <x:f>SUMPRODUCT(B18:G18,B19:G19)/SUM(B18:G18)</x:f>
        <x:v>-0.71428571428571463</x:v>
      </x:c>
      <x:c r="M17" s="8" t="s">
        <x:v>32</x:v>
      </x:c>
      <x:c r="N17" s="2" t="s">
        <x:v>107</x:v>
      </x:c>
      <x:c r="O17" s="2" t="s">
        <x:v>105</x:v>
      </x:c>
      <x:c r="P17" s="2" t="s">
        <x:v>96</x:v>
      </x:c>
      <x:c r="Q17" s="2" t="s">
        <x:v>30</x:v>
      </x:c>
      <x:c r="R17" s="2"/>
      <x:c r="S17" s="17">
        <x:f>SUMPRODUCT(N18:R18,N19:R19)/SUM(N18:R18)</x:f>
        <x:v>31.506355932203391</x:v>
      </x:c>
    </x:row>
    <x:row r="18" spans="1:19">
      <x:c r="A18" s="8"/>
      <x:c r="B18" s="2">
        <x:v>0.80000000000000004</x:v>
      </x:c>
      <x:c r="C18" s="2">
        <x:v>1</x:v>
      </x:c>
      <x:c r="D18" s="2">
        <x:v>0.59999999999999998</x:v>
      </x:c>
      <x:c r="E18" s="2">
        <x:v>0.40000000000000002</x:v>
      </x:c>
      <x:c r="F18" s="2"/>
      <x:c r="G18" s="2"/>
      <x:c r="H18" s="17"/>
      <x:c r="M18" s="8"/>
      <x:c r="N18" s="2">
        <x:v>1</x:v>
      </x:c>
      <x:c r="O18" s="2">
        <x:v>0.25</x:v>
      </x:c>
      <x:c r="P18" s="2">
        <x:v>0.25</x:v>
      </x:c>
      <x:c r="Q18" s="2">
        <x:v>0.5</x:v>
      </x:c>
      <x:c r="R18" s="2"/>
      <x:c r="S18" s="17"/>
    </x:row>
    <x:row r="19" spans="1:19">
      <x:c r="A19" s="8"/>
      <x:c r="B19" s="2">
        <x:f>IFERROR(VLOOKUP(B17,Sheet1!$A$1:$B$15,2,0),"")</x:f>
        <x:v>-10</x:v>
      </x:c>
      <x:c r="C19" s="2">
        <x:f>IFERROR(VLOOKUP(C17,Sheet1!$A$1:$B$15,2,0),"")</x:f>
        <x:v>4</x:v>
      </x:c>
      <x:c r="D19" s="2">
        <x:f>IFERROR(VLOOKUP(D17,Sheet1!$A$1:$B$15,2,0),"")</x:f>
        <x:v>12</x:v>
      </x:c>
      <x:c r="E19" s="2">
        <x:f>IFERROR(VLOOKUP(E17,Sheet1!$A$1:$B$15,2,0),"")</x:f>
        <x:v>-13</x:v>
      </x:c>
      <x:c r="F19" s="2" t="str">
        <x:f>IFERROR(VLOOKUP(F17,Sheet1!$A$1:$B$15,2,0),"")</x:f>
        <x:v/>
      </x:c>
      <x:c r="G19" s="2" t="str">
        <x:f>IFERROR(VLOOKUP(G17,Sheet1!$A$1:$B$15,2,0),"")</x:f>
        <x:v/>
      </x:c>
      <x:c r="H19" s="17"/>
      <x:c r="M19" s="8"/>
      <x:c r="N19" s="2">
        <x:f>IFERROR(VLOOKUP(N17,$A$2:$H$109,8,0),"")</x:f>
        <x:v>31.999999999999996</x:v>
      </x:c>
      <x:c r="O19" s="2">
        <x:f>IFERROR(VLOOKUP(O17,$A$2:$H$109,8,0),"")</x:f>
        <x:v>45.125</x:v>
      </x:c>
      <x:c r="P19" s="2">
        <x:f>IFERROR(VLOOKUP(P17,$A$2:$H$109,8,0),"")</x:f>
        <x:v>15.874999999999998</x:v>
      </x:c>
      <x:c r="Q19" s="2">
        <x:f>IFERROR(VLOOKUP(Q17,$A$2:$H$109,8,0),"")</x:f>
        <x:v>31.525423728813561</x:v>
      </x:c>
      <x:c r="R19" s="2" t="str">
        <x:f>IFERROR(VLOOKUP(R17,$A$2:$H$109,8,0),"")</x:f>
        <x:v/>
      </x:c>
      <x:c r="S19" s="17"/>
    </x:row>
    <x:row r="20" spans="1:19">
      <x:c r="A20" s="8" t="s">
        <x:v>118</x:v>
      </x:c>
      <x:c r="B20" s="2" t="s">
        <x:v>37</x:v>
      </x:c>
      <x:c r="C20" s="2" t="s">
        <x:v>118</x:v>
      </x:c>
      <x:c r="D20" s="2" t="s">
        <x:v>15</x:v>
      </x:c>
      <x:c r="E20" s="2" t="s">
        <x:v>98</x:v>
      </x:c>
      <x:c r="F20" s="2"/>
      <x:c r="G20" s="2"/>
      <x:c r="H20" s="17">
        <x:f>SUMPRODUCT(B21:G21,B22:G22)/SUM(B21:G21)</x:f>
        <x:v>-2.1818181818181812</x:v>
      </x:c>
      <x:c r="M20" s="8" t="s">
        <x:v>12</x:v>
      </x:c>
      <x:c r="N20" s="2" t="s">
        <x:v>34</x:v>
      </x:c>
      <x:c r="O20" s="2" t="s">
        <x:v>6</x:v>
      </x:c>
      <x:c r="P20" s="2" t="s">
        <x:v>96</x:v>
      </x:c>
      <x:c r="Q20" s="2"/>
      <x:c r="R20" s="2"/>
      <x:c r="S20" s="17">
        <x:f>SUMPRODUCT(N21:R21,N22:R22)/SUM(N21:R21)</x:f>
        <x:v>37.577068236714972</x:v>
      </x:c>
    </x:row>
    <x:row r="21" spans="1:19">
      <x:c r="A21" s="8"/>
      <x:c r="B21" s="2">
        <x:v>0.69999999999999996</x:v>
      </x:c>
      <x:c r="C21" s="2">
        <x:v>1</x:v>
      </x:c>
      <x:c r="D21" s="2">
        <x:v>0.29999999999999999</x:v>
      </x:c>
      <x:c r="E21" s="2">
        <x:v>0.20000000000000001</x:v>
      </x:c>
      <x:c r="F21" s="2"/>
      <x:c r="G21" s="2"/>
      <x:c r="H21" s="17"/>
      <x:c r="M21" s="8"/>
      <x:c r="N21" s="2">
        <x:v>1</x:v>
      </x:c>
      <x:c r="O21" s="2">
        <x:v>0.69999999999999996</x:v>
      </x:c>
      <x:c r="P21" s="2">
        <x:v>0.69999999999999996</x:v>
      </x:c>
      <x:c r="Q21" s="2"/>
      <x:c r="R21" s="2"/>
      <x:c r="S21" s="17"/>
    </x:row>
    <x:row r="22" spans="1:19">
      <x:c r="A22" s="8"/>
      <x:c r="B22" s="2">
        <x:f>IFERROR(VLOOKUP(B20,Sheet1!$A$1:$B$15,2,0),"")</x:f>
        <x:v>-10</x:v>
      </x:c>
      <x:c r="C22" s="2">
        <x:f>IFERROR(VLOOKUP(C20,Sheet1!$A$1:$B$15,2,0),"")</x:f>
        <x:v>4</x:v>
      </x:c>
      <x:c r="D22" s="2">
        <x:f>IFERROR(VLOOKUP(D20,Sheet1!$A$1:$B$15,2,0),"")</x:f>
        <x:v>-24</x:v>
      </x:c>
      <x:c r="E22" s="2">
        <x:f>IFERROR(VLOOKUP(E20,Sheet1!$A$1:$B$15,2,0),"")</x:f>
        <x:v>27</x:v>
      </x:c>
      <x:c r="F22" s="2" t="str">
        <x:f>IFERROR(VLOOKUP(F20,Sheet1!$A$1:$B$15,2,0),"")</x:f>
        <x:v/>
      </x:c>
      <x:c r="G22" s="2" t="str">
        <x:f>IFERROR(VLOOKUP(G20,Sheet1!$A$1:$B$15,2,0),"")</x:f>
        <x:v/>
      </x:c>
      <x:c r="H22" s="17"/>
      <x:c r="M22" s="8"/>
      <x:c r="N22" s="2">
        <x:f>IFERROR(VLOOKUP(N20,$A$2:$H$109,8,0),"")</x:f>
        <x:v>37.133333333333333</x:v>
      </x:c>
      <x:c r="O22" s="2">
        <x:f>IFERROR(VLOOKUP(O20,$A$2:$H$109,8,0),"")</x:f>
        <x:v>59.913043478260867</x:v>
      </x:c>
      <x:c r="P22" s="2">
        <x:f>IFERROR(VLOOKUP(P20,$A$2:$H$109,8,0),"")</x:f>
        <x:v>15.874999999999998</x:v>
      </x:c>
      <x:c r="Q22" s="2" t="str">
        <x:f>IFERROR(VLOOKUP(Q20,$A$2:$H$109,8,0),"")</x:f>
        <x:v/>
      </x:c>
      <x:c r="R22" s="2" t="str">
        <x:f>IFERROR(VLOOKUP(R20,$A$2:$H$109,8,0),"")</x:f>
        <x:v/>
      </x:c>
      <x:c r="S22" s="17"/>
    </x:row>
    <x:row r="23" spans="1:19">
      <x:c r="A23" s="8" t="s">
        <x:v>13</x:v>
      </x:c>
      <x:c r="B23" s="2" t="s">
        <x:v>37</x:v>
      </x:c>
      <x:c r="C23" s="2" t="s">
        <x:v>118</x:v>
      </x:c>
      <x:c r="D23" s="2" t="s">
        <x:v>108</x:v>
      </x:c>
      <x:c r="E23" s="2"/>
      <x:c r="F23" s="2"/>
      <x:c r="G23" s="2"/>
      <x:c r="H23" s="17">
        <x:f>SUMPRODUCT(B24:G24,B25:G25)/SUM(B24:G24)</x:f>
        <x:v>-4.3181818181818175</x:v>
      </x:c>
      <x:c r="M23" s="8" t="s">
        <x:v>21</x:v>
      </x:c>
      <x:c r="N23" s="2" t="s">
        <x:v>33</x:v>
      </x:c>
      <x:c r="O23" s="2" t="s">
        <x:v>105</x:v>
      </x:c>
      <x:c r="P23" s="2" t="s">
        <x:v>30</x:v>
      </x:c>
      <x:c r="Q23" s="2"/>
      <x:c r="R23" s="2"/>
      <x:c r="S23" s="17">
        <x:f>SUMPRODUCT(N24:R24,N25:R25)/SUM(N24:R24)</x:f>
        <x:v>47.099128855669022</x:v>
      </x:c>
    </x:row>
    <x:row r="24" spans="1:19">
      <x:c r="A24" s="8"/>
      <x:c r="B24" s="2">
        <x:v>0.69999999999999996</x:v>
      </x:c>
      <x:c r="C24" s="2">
        <x:v>1</x:v>
      </x:c>
      <x:c r="D24" s="2">
        <x:v>0.5</x:v>
      </x:c>
      <x:c r="E24" s="2"/>
      <x:c r="F24" s="2"/>
      <x:c r="G24" s="2"/>
      <x:c r="H24" s="17"/>
      <x:c r="M24" s="8"/>
      <x:c r="N24" s="2">
        <x:v>1</x:v>
      </x:c>
      <x:c r="O24" s="2">
        <x:v>0.20000000000000001</x:v>
      </x:c>
      <x:c r="P24" s="2">
        <x:v>0.20000000000000001</x:v>
      </x:c>
      <x:c r="Q24" s="2"/>
      <x:c r="R24" s="2"/>
      <x:c r="S24" s="17"/>
    </x:row>
    <x:row r="25" spans="1:19">
      <x:c r="A25" s="8"/>
      <x:c r="B25" s="2">
        <x:f>IFERROR(VLOOKUP(B23,Sheet1!$A$1:$B$15,2,0),"")</x:f>
        <x:v>-10</x:v>
      </x:c>
      <x:c r="C25" s="2">
        <x:f>IFERROR(VLOOKUP(C23,Sheet1!$A$1:$B$15,2,0),"")</x:f>
        <x:v>4</x:v>
      </x:c>
      <x:c r="D25" s="2">
        <x:f>IFERROR(VLOOKUP(D23,Sheet1!$A$1:$B$15,2,0),"")</x:f>
        <x:v>-13</x:v>
      </x:c>
      <x:c r="E25" s="2" t="str">
        <x:f>IFERROR(VLOOKUP(E23,Sheet1!$A$1:$B$15,2,0),"")</x:f>
        <x:v/>
      </x:c>
      <x:c r="F25" s="2" t="str">
        <x:f>IFERROR(VLOOKUP(F23,Sheet1!$A$1:$B$15,2,0),"")</x:f>
        <x:v/>
      </x:c>
      <x:c r="G25" s="2" t="str">
        <x:f>IFERROR(VLOOKUP(G23,Sheet1!$A$1:$B$15,2,0),"")</x:f>
        <x:v/>
      </x:c>
      <x:c r="H25" s="17"/>
      <x:c r="M25" s="8"/>
      <x:c r="N25" s="2">
        <x:f>IFERROR(VLOOKUP(N23,$A$2:$H$109,8,0),"")</x:f>
        <x:v>50.608695652173914</x:v>
      </x:c>
      <x:c r="O25" s="2">
        <x:f>IFERROR(VLOOKUP(O23,$A$2:$H$109,8,0),"")</x:f>
        <x:v>45.125</x:v>
      </x:c>
      <x:c r="P25" s="2">
        <x:f>IFERROR(VLOOKUP(P23,$A$2:$H$109,8,0),"")</x:f>
        <x:v>31.525423728813561</x:v>
      </x:c>
      <x:c r="Q25" s="2" t="str">
        <x:f>IFERROR(VLOOKUP(Q23,$A$2:$H$109,8,0),"")</x:f>
        <x:v/>
      </x:c>
      <x:c r="R25" s="2" t="str">
        <x:f>IFERROR(VLOOKUP(R23,$A$2:$H$109,8,0),"")</x:f>
        <x:v/>
      </x:c>
      <x:c r="S25" s="17"/>
    </x:row>
    <x:row r="26" spans="1:19">
      <x:c r="A26" s="8" t="s">
        <x:v>41</x:v>
      </x:c>
      <x:c r="B26" s="2" t="s">
        <x:v>37</x:v>
      </x:c>
      <x:c r="C26" s="2" t="s">
        <x:v>93</x:v>
      </x:c>
      <x:c r="D26" s="2" t="s">
        <x:v>104</x:v>
      </x:c>
      <x:c r="E26" s="2" t="s">
        <x:v>110</x:v>
      </x:c>
      <x:c r="F26" s="2"/>
      <x:c r="G26" s="2"/>
      <x:c r="H26" s="17">
        <x:f>SUMPRODUCT(B27:G27,B28:G28)/SUM(B27:G27)</x:f>
        <x:v>32.777777777777779</x:v>
      </x:c>
      <x:c r="M26" s="8" t="s">
        <x:v>23</x:v>
      </x:c>
      <x:c r="N26" s="2" t="s">
        <x:v>42</x:v>
      </x:c>
      <x:c r="O26" s="2" t="s">
        <x:v>105</x:v>
      </x:c>
      <x:c r="P26" s="2" t="s">
        <x:v>30</x:v>
      </x:c>
      <x:c r="Q26" s="2"/>
      <x:c r="R26" s="2"/>
      <x:c r="S26" s="17">
        <x:f>SUMPRODUCT(N27:R27,N28:R28)/SUM(N27:R27)</x:f>
        <x:v>36.837506420133543</x:v>
      </x:c>
    </x:row>
    <x:row r="27" spans="1:19">
      <x:c r="A27" s="8"/>
      <x:c r="B27" s="2">
        <x:v>0.69999999999999996</x:v>
      </x:c>
      <x:c r="C27" s="2">
        <x:v>0.29999999999999999</x:v>
      </x:c>
      <x:c r="D27" s="2">
        <x:v>0.90000000000000002</x:v>
      </x:c>
      <x:c r="E27" s="2">
        <x:v>0.80000000000000004</x:v>
      </x:c>
      <x:c r="F27" s="2"/>
      <x:c r="G27" s="2"/>
      <x:c r="H27" s="17"/>
      <x:c r="M27" s="8"/>
      <x:c r="N27" s="2">
        <x:v>1</x:v>
      </x:c>
      <x:c r="O27" s="2">
        <x:v>0.20000000000000001</x:v>
      </x:c>
      <x:c r="P27" s="2">
        <x:v>0.20000000000000001</x:v>
      </x:c>
      <x:c r="Q27" s="2"/>
      <x:c r="R27" s="2"/>
      <x:c r="S27" s="17"/>
    </x:row>
    <x:row r="28" spans="1:19">
      <x:c r="A28" s="8"/>
      <x:c r="B28" s="2">
        <x:f>IFERROR(VLOOKUP(B26,Sheet1!$A$1:$B$15,2,0),"")</x:f>
        <x:v>-10</x:v>
      </x:c>
      <x:c r="C28" s="2">
        <x:f>IFERROR(VLOOKUP(C26,Sheet1!$A$1:$B$15,2,0),"")</x:f>
        <x:v>-73</x:v>
      </x:c>
      <x:c r="D28" s="2">
        <x:f>IFERROR(VLOOKUP(D26,Sheet1!$A$1:$B$15,2,0),"")</x:f>
        <x:v>166</x:v>
      </x:c>
      <x:c r="E28" s="2">
        <x:f>IFERROR(VLOOKUP(E26,Sheet1!$A$1:$B$15,2,0),"")</x:f>
        <x:v>-40</x:v>
      </x:c>
      <x:c r="F28" s="2" t="str">
        <x:f>IFERROR(VLOOKUP(F26,Sheet1!$A$1:$B$15,2,0),"")</x:f>
        <x:v/>
      </x:c>
      <x:c r="G28" s="2" t="str">
        <x:f>IFERROR(VLOOKUP(G26,Sheet1!$A$1:$B$15,2,0),"")</x:f>
        <x:v/>
      </x:c>
      <x:c r="H28" s="17"/>
      <x:c r="M28" s="8"/>
      <x:c r="N28" s="2">
        <x:f>IFERROR(VLOOKUP(N26,$A$2:$H$109,8,0),"")</x:f>
        <x:v>36.242424242424249</x:v>
      </x:c>
      <x:c r="O28" s="2">
        <x:f>IFERROR(VLOOKUP(O26,$A$2:$H$109,8,0),"")</x:f>
        <x:v>45.125</x:v>
      </x:c>
      <x:c r="P28" s="2">
        <x:f>IFERROR(VLOOKUP(P26,$A$2:$H$109,8,0),"")</x:f>
        <x:v>31.525423728813561</x:v>
      </x:c>
      <x:c r="Q28" s="2" t="str">
        <x:f>IFERROR(VLOOKUP(Q26,$A$2:$H$109,8,0),"")</x:f>
        <x:v/>
      </x:c>
      <x:c r="R28" s="2" t="str">
        <x:f>IFERROR(VLOOKUP(R26,$A$2:$H$109,8,0),"")</x:f>
        <x:v/>
      </x:c>
      <x:c r="S28" s="17"/>
    </x:row>
    <x:row r="29" spans="1:19">
      <x:c r="A29" s="8" t="s">
        <x:v>29</x:v>
      </x:c>
      <x:c r="B29" s="2" t="s">
        <x:v>37</x:v>
      </x:c>
      <x:c r="C29" s="2" t="s">
        <x:v>99</x:v>
      </x:c>
      <x:c r="D29" s="2" t="s">
        <x:v>6</x:v>
      </x:c>
      <x:c r="E29" s="2" t="s">
        <x:v>114</x:v>
      </x:c>
      <x:c r="F29" s="2"/>
      <x:c r="G29" s="2"/>
      <x:c r="H29" s="17">
        <x:f>SUMPRODUCT(B30:G30,B31:G31)/SUM(B30:G30)</x:f>
        <x:v>27.076923076923077</x:v>
      </x:c>
      <x:c r="M29" s="8" t="s">
        <x:v>10</x:v>
      </x:c>
      <x:c r="N29" s="2" t="s">
        <x:v>41</x:v>
      </x:c>
      <x:c r="O29" s="2" t="s">
        <x:v>105</x:v>
      </x:c>
      <x:c r="P29" s="2" t="s">
        <x:v>30</x:v>
      </x:c>
      <x:c r="Q29" s="2" t="s">
        <x:v>114</x:v>
      </x:c>
      <x:c r="R29" s="2"/>
      <x:c r="S29" s="17">
        <x:f>SUMPRODUCT(N30:R30,N31:R31)/SUM(N30:R30)</x:f>
        <x:v>37.82839934687663</x:v>
      </x:c>
    </x:row>
    <x:row r="30" spans="1:19">
      <x:c r="A30" s="8"/>
      <x:c r="B30" s="2">
        <x:v>0.59999999999999998</x:v>
      </x:c>
      <x:c r="C30" s="2">
        <x:v>0.29999999999999999</x:v>
      </x:c>
      <x:c r="D30" s="2">
        <x:v>1</x:v>
      </x:c>
      <x:c r="E30" s="2">
        <x:v>0.69999999999999996</x:v>
      </x:c>
      <x:c r="F30" s="2"/>
      <x:c r="G30" s="2"/>
      <x:c r="H30" s="17"/>
      <x:c r="M30" s="8"/>
      <x:c r="N30" s="2">
        <x:v>1</x:v>
      </x:c>
      <x:c r="O30" s="2">
        <x:v>0.20000000000000001</x:v>
      </x:c>
      <x:c r="P30" s="2">
        <x:v>0.20000000000000001</x:v>
      </x:c>
      <x:c r="Q30" s="2">
        <x:v>0.59999999999999998</x:v>
      </x:c>
      <x:c r="R30" s="2"/>
      <x:c r="S30" s="17"/>
    </x:row>
    <x:row r="31" spans="1:19">
      <x:c r="A31" s="8"/>
      <x:c r="B31" s="2">
        <x:f>IFERROR(VLOOKUP(B29,Sheet1!$A$1:$B$15,2,0),"")</x:f>
        <x:v>-10</x:v>
      </x:c>
      <x:c r="C31" s="2">
        <x:f>IFERROR(VLOOKUP(C29,Sheet1!$A$1:$B$15,2,0),"")</x:f>
        <x:v>154</x:v>
      </x:c>
      <x:c r="D31" s="2">
        <x:f>IFERROR(VLOOKUP(D29,Sheet1!$A$1:$B$15,2,0),"")</x:f>
        <x:v>12</x:v>
      </x:c>
      <x:c r="E31" s="2">
        <x:f>IFERROR(VLOOKUP(E29,Sheet1!$A$1:$B$15,2,0),"")</x:f>
        <x:v>26</x:v>
      </x:c>
      <x:c r="F31" s="2" t="str">
        <x:f>IFERROR(VLOOKUP(F29,Sheet1!$A$1:$B$15,2,0),"")</x:f>
        <x:v/>
      </x:c>
      <x:c r="G31" s="2" t="str">
        <x:f>IFERROR(VLOOKUP(G29,Sheet1!$A$1:$B$15,2,0),"")</x:f>
        <x:v/>
      </x:c>
      <x:c r="H31" s="17"/>
      <x:c r="M31" s="8"/>
      <x:c r="N31" s="2">
        <x:f>IFERROR(VLOOKUP(N29,$A$2:$H$109,8,0),"")</x:f>
        <x:v>32.777777777777779</x:v>
      </x:c>
      <x:c r="O31" s="2">
        <x:f>IFERROR(VLOOKUP(O29,$A$2:$H$109,8,0),"")</x:f>
        <x:v>45.125</x:v>
      </x:c>
      <x:c r="P31" s="2">
        <x:f>IFERROR(VLOOKUP(P29,$A$2:$H$109,8,0),"")</x:f>
        <x:v>31.525423728813561</x:v>
      </x:c>
      <x:c r="Q31" s="2">
        <x:f>IFERROR(VLOOKUP(Q29,$A$2:$H$109,8,0),"")</x:f>
        <x:v>45.914893617021278</x:v>
      </x:c>
      <x:c r="R31" s="2" t="str">
        <x:f>IFERROR(VLOOKUP(R29,$A$2:$H$109,8,0),"")</x:f>
        <x:v/>
      </x:c>
      <x:c r="S31" s="17"/>
    </x:row>
    <x:row r="32" spans="1:19">
      <x:c r="A32" s="8" t="s">
        <x:v>44</x:v>
      </x:c>
      <x:c r="B32" s="2" t="s">
        <x:v>37</x:v>
      </x:c>
      <x:c r="C32" s="2" t="s">
        <x:v>118</x:v>
      </x:c>
      <x:c r="D32" s="2" t="s">
        <x:v>50</x:v>
      </x:c>
      <x:c r="E32" s="2" t="s">
        <x:v>6</x:v>
      </x:c>
      <x:c r="F32" s="2"/>
      <x:c r="G32" s="2"/>
      <x:c r="H32" s="17">
        <x:f>SUMPRODUCT(B33:G33,B34:G34)/SUM(B33:G33)</x:f>
        <x:v>43.096774193548399</x:v>
      </x:c>
      <x:c r="M32" s="8" t="s">
        <x:v>14</x:v>
      </x:c>
      <x:c r="N32" s="2" t="s">
        <x:v>36</x:v>
      </x:c>
      <x:c r="O32" s="2" t="s">
        <x:v>39</x:v>
      </x:c>
      <x:c r="P32" s="2" t="s">
        <x:v>46</x:v>
      </x:c>
      <x:c r="Q32" s="2"/>
      <x:c r="R32" s="2"/>
      <x:c r="S32" s="17">
        <x:f>SUMPRODUCT(N33:R33,N34:R34)/SUM(N33:R33)</x:f>
        <x:v>-19.39337719993658</x:v>
      </x:c>
    </x:row>
    <x:row r="33" spans="1:19">
      <x:c r="A33" s="8"/>
      <x:c r="B33" s="2">
        <x:v>0.59999999999999998</x:v>
      </x:c>
      <x:c r="C33" s="2">
        <x:v>0.69999999999999996</x:v>
      </x:c>
      <x:c r="D33" s="2">
        <x:v>0.80000000000000004</x:v>
      </x:c>
      <x:c r="E33" s="2">
        <x:v>1</x:v>
      </x:c>
      <x:c r="F33" s="2"/>
      <x:c r="G33" s="2"/>
      <x:c r="H33" s="17"/>
      <x:c r="M33" s="8"/>
      <x:c r="N33" s="2">
        <x:v>1</x:v>
      </x:c>
      <x:c r="O33" s="2">
        <x:v>0.59999999999999998</x:v>
      </x:c>
      <x:c r="P33" s="2">
        <x:v>0.10000000000000001</x:v>
      </x:c>
      <x:c r="Q33" s="2"/>
      <x:c r="R33" s="2"/>
      <x:c r="S33" s="17"/>
    </x:row>
    <x:row r="34" spans="1:19">
      <x:c r="A34" s="8"/>
      <x:c r="B34" s="2">
        <x:f>IFERROR(VLOOKUP(B32,Sheet1!$A$1:$B$15,2,0),"")</x:f>
        <x:v>-10</x:v>
      </x:c>
      <x:c r="C34" s="2">
        <x:f>IFERROR(VLOOKUP(C32,Sheet1!$A$1:$B$15,2,0),"")</x:f>
        <x:v>4</x:v>
      </x:c>
      <x:c r="D34" s="2">
        <x:f>IFERROR(VLOOKUP(D32,Sheet1!$A$1:$B$15,2,0),"")</x:f>
        <x:v>156</x:v>
      </x:c>
      <x:c r="E34" s="2">
        <x:f>IFERROR(VLOOKUP(E32,Sheet1!$A$1:$B$15,2,0),"")</x:f>
        <x:v>12</x:v>
      </x:c>
      <x:c r="F34" s="2" t="str">
        <x:f>IFERROR(VLOOKUP(F32,Sheet1!$A$1:$B$15,2,0),"")</x:f>
        <x:v/>
      </x:c>
      <x:c r="G34" s="2" t="str">
        <x:f>IFERROR(VLOOKUP(G32,Sheet1!$A$1:$B$15,2,0),"")</x:f>
        <x:v/>
      </x:c>
      <x:c r="H34" s="17"/>
      <x:c r="M34" s="8"/>
      <x:c r="N34" s="2">
        <x:f>IFERROR(VLOOKUP(N32,$A$2:$H$109,8,0),"")</x:f>
        <x:v>-19.54716981132076</x:v>
      </x:c>
      <x:c r="O34" s="2">
        <x:f>IFERROR(VLOOKUP(O32,$A$2:$H$109,8,0),"")</x:f>
        <x:v>-19.280000000000001</x:v>
      </x:c>
      <x:c r="P34" s="2">
        <x:f>IFERROR(VLOOKUP(P32,$A$2:$H$109,8,0),"")</x:f>
        <x:v>-18.535714285714288</x:v>
      </x:c>
      <x:c r="Q34" s="2" t="str">
        <x:f>IFERROR(VLOOKUP(Q32,$A$2:$H$109,8,0),"")</x:f>
        <x:v/>
      </x:c>
      <x:c r="R34" s="2" t="str">
        <x:f>IFERROR(VLOOKUP(R32,$A$2:$H$109,8,0),"")</x:f>
        <x:v/>
      </x:c>
      <x:c r="S34" s="17"/>
    </x:row>
    <x:row r="35" spans="1:19">
      <x:c r="A35" s="8" t="s">
        <x:v>40</x:v>
      </x:c>
      <x:c r="B35" s="2" t="s">
        <x:v>37</x:v>
      </x:c>
      <x:c r="C35" s="2" t="s">
        <x:v>93</x:v>
      </x:c>
      <x:c r="D35" s="2" t="s">
        <x:v>104</x:v>
      </x:c>
      <x:c r="E35" s="2" t="s">
        <x:v>110</x:v>
      </x:c>
      <x:c r="F35" s="2"/>
      <x:c r="G35" s="2"/>
      <x:c r="H35" s="17">
        <x:f>SUMPRODUCT(B36:G36,B37:G37)/SUM(B36:G36)</x:f>
        <x:v>14.034482758620696</x:v>
      </x:c>
      <x:c r="M35" s="8" t="s">
        <x:v>31</x:v>
      </x:c>
      <x:c r="N35" s="2" t="s">
        <x:v>26</x:v>
      </x:c>
      <x:c r="O35" s="2" t="s">
        <x:v>96</x:v>
      </x:c>
      <x:c r="P35" s="2" t="s">
        <x:v>105</x:v>
      </x:c>
      <x:c r="Q35" s="2" t="s">
        <x:v>107</x:v>
      </x:c>
      <x:c r="R35" s="2"/>
      <x:c r="S35" s="17">
        <x:f>SUMPRODUCT(N36:R36,N37:R37)/SUM(N36:R36)</x:f>
        <x:v>40.91119462025317</x:v>
      </x:c>
    </x:row>
    <x:row r="36" spans="1:19">
      <x:c r="A36" s="8"/>
      <x:c r="B36" s="2">
        <x:v>0.5</x:v>
      </x:c>
      <x:c r="C36" s="2">
        <x:v>0.69999999999999996</x:v>
      </x:c>
      <x:c r="D36" s="2">
        <x:v>0.80000000000000004</x:v>
      </x:c>
      <x:c r="E36" s="2">
        <x:v>0.90000000000000002</x:v>
      </x:c>
      <x:c r="F36" s="2"/>
      <x:c r="G36" s="2"/>
      <x:c r="H36" s="17"/>
      <x:c r="M36" s="8"/>
      <x:c r="N36" s="2">
        <x:v>1</x:v>
      </x:c>
      <x:c r="O36" s="2">
        <x:v>0.25</x:v>
      </x:c>
      <x:c r="P36" s="2">
        <x:v>0.5</x:v>
      </x:c>
      <x:c r="Q36" s="2">
        <x:v>0.25</x:v>
      </x:c>
      <x:c r="R36" s="2"/>
      <x:c r="S36" s="17"/>
    </x:row>
    <x:row r="37" spans="1:19">
      <x:c r="A37" s="8"/>
      <x:c r="B37" s="2">
        <x:f>IFERROR(VLOOKUP(B35,Sheet1!$A$1:$B$15,2,0),"")</x:f>
        <x:v>-10</x:v>
      </x:c>
      <x:c r="C37" s="2">
        <x:f>IFERROR(VLOOKUP(C35,Sheet1!$A$1:$B$15,2,0),"")</x:f>
        <x:v>-73</x:v>
      </x:c>
      <x:c r="D37" s="2">
        <x:f>IFERROR(VLOOKUP(D35,Sheet1!$A$1:$B$15,2,0),"")</x:f>
        <x:v>166</x:v>
      </x:c>
      <x:c r="E37" s="2">
        <x:f>IFERROR(VLOOKUP(E35,Sheet1!$A$1:$B$15,2,0),"")</x:f>
        <x:v>-40</x:v>
      </x:c>
      <x:c r="F37" s="2" t="str">
        <x:f>IFERROR(VLOOKUP(F35,Sheet1!$A$1:$B$15,2,0),"")</x:f>
        <x:v/>
      </x:c>
      <x:c r="G37" s="2" t="str">
        <x:f>IFERROR(VLOOKUP(G35,Sheet1!$A$1:$B$15,2,0),"")</x:f>
        <x:v/>
      </x:c>
      <x:c r="H37" s="17"/>
      <x:c r="M37" s="8"/>
      <x:c r="N37" s="2">
        <x:f>IFERROR(VLOOKUP(N35,$A$2:$H$109,8,0),"")</x:f>
        <x:v>47.291139240506332</x:v>
      </x:c>
      <x:c r="O37" s="2">
        <x:f>IFERROR(VLOOKUP(O35,$A$2:$H$109,8,0),"")</x:f>
        <x:v>15.874999999999998</x:v>
      </x:c>
      <x:c r="P37" s="2">
        <x:f>IFERROR(VLOOKUP(P35,$A$2:$H$109,8,0),"")</x:f>
        <x:v>45.125</x:v>
      </x:c>
      <x:c r="Q37" s="2">
        <x:f>IFERROR(VLOOKUP(Q35,$A$2:$H$109,8,0),"")</x:f>
        <x:v>31.999999999999996</x:v>
      </x:c>
      <x:c r="R37" s="2" t="str">
        <x:f>IFERROR(VLOOKUP(R35,$A$2:$H$109,8,0),"")</x:f>
        <x:v/>
      </x:c>
      <x:c r="S37" s="17"/>
    </x:row>
    <x:row r="38" spans="1:19">
      <x:c r="A38" s="8" t="s">
        <x:v>47</x:v>
      </x:c>
      <x:c r="B38" s="2" t="s">
        <x:v>37</x:v>
      </x:c>
      <x:c r="C38" s="2" t="s">
        <x:v>93</x:v>
      </x:c>
      <x:c r="D38" s="2" t="s">
        <x:v>15</x:v>
      </x:c>
      <x:c r="E38" s="2" t="s">
        <x:v>98</x:v>
      </x:c>
      <x:c r="F38" s="2"/>
      <x:c r="G38" s="2"/>
      <x:c r="H38" s="17">
        <x:f>SUMPRODUCT(B39:G39,B40:G40)/SUM(B39:G39)</x:f>
        <x:v>-24.482758620689651</x:v>
      </x:c>
      <x:c r="M38" s="8" t="s">
        <x:v>49</x:v>
      </x:c>
      <x:c r="N38" s="2" t="s">
        <x:v>30</x:v>
      </x:c>
      <x:c r="O38" s="2" t="s">
        <x:v>105</x:v>
      </x:c>
      <x:c r="P38" s="2" t="s">
        <x:v>96</x:v>
      </x:c>
      <x:c r="Q38" s="2" t="s">
        <x:v>107</x:v>
      </x:c>
      <x:c r="R38" s="2"/>
      <x:c r="S38" s="17">
        <x:f>SUMPRODUCT(N39:R39,N40:R40)/SUM(N39:R39)</x:f>
        <x:v>29.372086864406782</x:v>
      </x:c>
    </x:row>
    <x:row r="39" spans="1:19">
      <x:c r="A39" s="8"/>
      <x:c r="B39" s="2">
        <x:v>0.5</x:v>
      </x:c>
      <x:c r="C39" s="2">
        <x:v>0.90000000000000002</x:v>
      </x:c>
      <x:c r="D39" s="2">
        <x:v>0.80000000000000004</x:v>
      </x:c>
      <x:c r="E39" s="2">
        <x:v>0.69999999999999996</x:v>
      </x:c>
      <x:c r="F39" s="2"/>
      <x:c r="G39" s="2"/>
      <x:c r="H39" s="17"/>
      <x:c r="M39" s="8"/>
      <x:c r="N39" s="2">
        <x:v>1</x:v>
      </x:c>
      <x:c r="O39" s="2">
        <x:v>0.25</x:v>
      </x:c>
      <x:c r="P39" s="2">
        <x:v>0.5</x:v>
      </x:c>
      <x:c r="Q39" s="2">
        <x:v>0.25</x:v>
      </x:c>
      <x:c r="R39" s="2"/>
      <x:c r="S39" s="17"/>
    </x:row>
    <x:row r="40" spans="1:19">
      <x:c r="A40" s="8"/>
      <x:c r="B40" s="2">
        <x:f>IFERROR(VLOOKUP(B38,Sheet1!$A$1:$B$15,2,0),"")</x:f>
        <x:v>-10</x:v>
      </x:c>
      <x:c r="C40" s="2">
        <x:f>IFERROR(VLOOKUP(C38,Sheet1!$A$1:$B$15,2,0),"")</x:f>
        <x:v>-73</x:v>
      </x:c>
      <x:c r="D40" s="2">
        <x:f>IFERROR(VLOOKUP(D38,Sheet1!$A$1:$B$15,2,0),"")</x:f>
        <x:v>-24</x:v>
      </x:c>
      <x:c r="E40" s="2">
        <x:f>IFERROR(VLOOKUP(E38,Sheet1!$A$1:$B$15,2,0),"")</x:f>
        <x:v>27</x:v>
      </x:c>
      <x:c r="F40" s="2" t="str">
        <x:f>IFERROR(VLOOKUP(F38,Sheet1!$A$1:$B$15,2,0),"")</x:f>
        <x:v/>
      </x:c>
      <x:c r="G40" s="2" t="str">
        <x:f>IFERROR(VLOOKUP(G38,Sheet1!$A$1:$B$15,2,0),"")</x:f>
        <x:v/>
      </x:c>
      <x:c r="H40" s="17"/>
      <x:c r="M40" s="8"/>
      <x:c r="N40" s="2">
        <x:f>IFERROR(VLOOKUP(N38,$A$2:$H$109,8,0),"")</x:f>
        <x:v>31.525423728813561</x:v>
      </x:c>
      <x:c r="O40" s="2">
        <x:f>IFERROR(VLOOKUP(O38,$A$2:$H$109,8,0),"")</x:f>
        <x:v>45.125</x:v>
      </x:c>
      <x:c r="P40" s="2">
        <x:f>IFERROR(VLOOKUP(P38,$A$2:$H$109,8,0),"")</x:f>
        <x:v>15.874999999999998</x:v>
      </x:c>
      <x:c r="Q40" s="2">
        <x:f>IFERROR(VLOOKUP(Q38,$A$2:$H$109,8,0),"")</x:f>
        <x:v>31.999999999999996</x:v>
      </x:c>
      <x:c r="R40" s="2" t="str">
        <x:f>IFERROR(VLOOKUP(R38,$A$2:$H$109,8,0),"")</x:f>
        <x:v/>
      </x:c>
      <x:c r="S40" s="17"/>
    </x:row>
    <x:row r="41" spans="1:19">
      <x:c r="A41" s="8" t="s">
        <x:v>43</x:v>
      </x:c>
      <x:c r="B41" s="2" t="s">
        <x:v>37</x:v>
      </x:c>
      <x:c r="C41" s="2" t="s">
        <x:v>93</x:v>
      </x:c>
      <x:c r="D41" s="2" t="s">
        <x:v>15</x:v>
      </x:c>
      <x:c r="E41" s="2" t="s">
        <x:v>50</x:v>
      </x:c>
      <x:c r="F41" s="2" t="s">
        <x:v>98</x:v>
      </x:c>
      <x:c r="G41" s="2"/>
      <x:c r="H41" s="17">
        <x:f>SUMPRODUCT(B42:G42,B43:G43)/SUM(B42:G42)</x:f>
        <x:v>22.424657534246574</x:v>
      </x:c>
      <x:c r="M41" s="9" t="s">
        <x:v>60</x:v>
      </x:c>
      <x:c r="N41" s="2" t="s">
        <x:v>111</x:v>
      </x:c>
      <x:c r="O41" s="2" t="s">
        <x:v>6</x:v>
      </x:c>
      <x:c r="P41" s="2" t="s">
        <x:v>112</x:v>
      </x:c>
      <x:c r="Q41" s="2"/>
      <x:c r="R41" s="2"/>
      <x:c r="S41" s="17">
        <x:f>SUMPRODUCT(N42:R42,N43:R43)/SUM(N42:R42)</x:f>
        <x:v>37.21325051759834</x:v>
      </x:c>
    </x:row>
    <x:row r="42" spans="1:19">
      <x:c r="A42" s="8"/>
      <x:c r="B42" s="2">
        <x:v>0.40000000000000002</x:v>
      </x:c>
      <x:c r="C42" s="2">
        <x:v>0.84999999999999998</x:v>
      </x:c>
      <x:c r="D42" s="2">
        <x:v>0.90000000000000002</x:v>
      </x:c>
      <x:c r="E42" s="2">
        <x:v>1</x:v>
      </x:c>
      <x:c r="F42" s="2">
        <x:v>0.5</x:v>
      </x:c>
      <x:c r="G42" s="2"/>
      <x:c r="H42" s="17"/>
      <x:c r="M42" s="8" t="s">
        <x:v>60</x:v>
      </x:c>
      <x:c r="N42" s="2">
        <x:v>1</x:v>
      </x:c>
      <x:c r="O42" s="2">
        <x:v>0.5</x:v>
      </x:c>
      <x:c r="P42" s="2">
        <x:v>0.25</x:v>
      </x:c>
      <x:c r="Q42" s="2"/>
      <x:c r="R42" s="2"/>
      <x:c r="S42" s="17"/>
    </x:row>
    <x:row r="43" spans="1:19">
      <x:c r="A43" s="8"/>
      <x:c r="B43" s="2">
        <x:f>IFERROR(VLOOKUP(B41,Sheet1!$A$1:$B$15,2,0),"")</x:f>
        <x:v>-10</x:v>
      </x:c>
      <x:c r="C43" s="2">
        <x:f>IFERROR(VLOOKUP(C41,Sheet1!$A$1:$B$15,2,0),"")</x:f>
        <x:v>-73</x:v>
      </x:c>
      <x:c r="D43" s="2">
        <x:f>IFERROR(VLOOKUP(D41,Sheet1!$A$1:$B$15,2,0),"")</x:f>
        <x:v>-24</x:v>
      </x:c>
      <x:c r="E43" s="2">
        <x:f>IFERROR(VLOOKUP(E41,Sheet1!$A$1:$B$15,2,0),"")</x:f>
        <x:v>156</x:v>
      </x:c>
      <x:c r="F43" s="2">
        <x:f>IFERROR(VLOOKUP(F41,Sheet1!$A$1:$B$15,2,0),"")</x:f>
        <x:v>27</x:v>
      </x:c>
      <x:c r="G43" s="2" t="str">
        <x:f>IFERROR(VLOOKUP(G41,Sheet1!$A$1:$B$15,2,0),"")</x:f>
        <x:v/>
      </x:c>
      <x:c r="H43" s="17"/>
      <x:c r="M43" s="8" t="s">
        <x:v>60</x:v>
      </x:c>
      <x:c r="N43" s="2">
        <x:f>IFERROR(VLOOKUP(N41,$A$2:$H$109,8,0),"")</x:f>
        <x:v>39.333333333333329</x:v>
      </x:c>
      <x:c r="O43" s="2">
        <x:f>IFERROR(VLOOKUP(O41,$A$2:$H$109,8,0),"")</x:f>
        <x:v>59.913043478260867</x:v>
      </x:c>
      <x:c r="P43" s="2">
        <x:f>IFERROR(VLOOKUP(P41,$A$2:$H$109,8,0),"")</x:f>
        <x:v>-16.666666666666664</x:v>
      </x:c>
      <x:c r="Q43" s="2" t="str">
        <x:f>IFERROR(VLOOKUP(Q41,$A$2:$H$109,8,0),"")</x:f>
        <x:v/>
      </x:c>
      <x:c r="R43" s="2" t="str">
        <x:f>IFERROR(VLOOKUP(R41,$A$2:$H$109,8,0),"")</x:f>
        <x:v/>
      </x:c>
      <x:c r="S43" s="17"/>
    </x:row>
    <x:row r="44" spans="1:19">
      <x:c r="A44" s="8" t="s">
        <x:v>97</x:v>
      </x:c>
      <x:c r="B44" s="2" t="s">
        <x:v>37</x:v>
      </x:c>
      <x:c r="C44" s="2" t="s">
        <x:v>118</x:v>
      </x:c>
      <x:c r="D44" s="2" t="s">
        <x:v>50</x:v>
      </x:c>
      <x:c r="E44" s="2" t="s">
        <x:v>6</x:v>
      </x:c>
      <x:c r="F44" s="2" t="s">
        <x:v>114</x:v>
      </x:c>
      <x:c r="G44" s="2"/>
      <x:c r="H44" s="17">
        <x:f>SUMPRODUCT(B45:G45,B46:G46)/SUM(B45:G45)</x:f>
        <x:v>40.724637681159422</x:v>
      </x:c>
      <x:c r="M44" s="9" t="s">
        <x:v>59</x:v>
      </x:c>
      <x:c r="N44" s="2" t="s">
        <x:v>111</x:v>
      </x:c>
      <x:c r="O44" s="2" t="s">
        <x:v>112</x:v>
      </x:c>
      <x:c r="P44" s="2" t="s">
        <x:v>114</x:v>
      </x:c>
      <x:c r="Q44" s="2" t="s">
        <x:v>6</x:v>
      </x:c>
      <x:c r="R44" s="2"/>
      <x:c r="S44" s="17">
        <x:f>SUMPRODUCT(N45:R45,N46:R46)/SUM(N45:R45)</x:f>
        <x:v>38.300955905026207</x:v>
      </x:c>
    </x:row>
    <x:row r="45" spans="1:19">
      <x:c r="A45" s="8"/>
      <x:c r="B45" s="2">
        <x:v>0.40000000000000002</x:v>
      </x:c>
      <x:c r="C45" s="2">
        <x:v>0.59999999999999998</x:v>
      </x:c>
      <x:c r="D45" s="2">
        <x:v>0.69999999999999996</x:v>
      </x:c>
      <x:c r="E45" s="2">
        <x:v>0.90000000000000002</x:v>
      </x:c>
      <x:c r="F45" s="2">
        <x:v>0.84999999999999998</x:v>
      </x:c>
      <x:c r="G45" s="2"/>
      <x:c r="H45" s="17"/>
      <x:c r="M45" s="8" t="s">
        <x:v>59</x:v>
      </x:c>
      <x:c r="N45" s="2">
        <x:v>1</x:v>
      </x:c>
      <x:c r="O45" s="2">
        <x:v>0.25</x:v>
      </x:c>
      <x:c r="P45" s="2">
        <x:v>0.25</x:v>
      </x:c>
      <x:c r="Q45" s="2">
        <x:v>0.5</x:v>
      </x:c>
      <x:c r="R45" s="2"/>
      <x:c r="S45" s="17"/>
    </x:row>
    <x:row r="46" spans="1:19">
      <x:c r="A46" s="8"/>
      <x:c r="B46" s="2">
        <x:f>IFERROR(VLOOKUP(B44,Sheet1!$A$1:$B$15,2,0),"")</x:f>
        <x:v>-10</x:v>
      </x:c>
      <x:c r="C46" s="2">
        <x:f>IFERROR(VLOOKUP(C44,Sheet1!$A$1:$B$15,2,0),"")</x:f>
        <x:v>4</x:v>
      </x:c>
      <x:c r="D46" s="2">
        <x:f>IFERROR(VLOOKUP(D44,Sheet1!$A$1:$B$15,2,0),"")</x:f>
        <x:v>156</x:v>
      </x:c>
      <x:c r="E46" s="2">
        <x:f>IFERROR(VLOOKUP(E44,Sheet1!$A$1:$B$15,2,0),"")</x:f>
        <x:v>12</x:v>
      </x:c>
      <x:c r="F46" s="2">
        <x:f>IFERROR(VLOOKUP(F44,Sheet1!$A$1:$B$15,2,0),"")</x:f>
        <x:v>26</x:v>
      </x:c>
      <x:c r="G46" s="2" t="str">
        <x:f>IFERROR(VLOOKUP(G44,Sheet1!$A$1:$B$15,2,0),"")</x:f>
        <x:v/>
      </x:c>
      <x:c r="H46" s="17"/>
      <x:c r="M46" s="8" t="s">
        <x:v>59</x:v>
      </x:c>
      <x:c r="N46" s="2">
        <x:f>IFERROR(VLOOKUP(N44,$A$2:$H$109,8,0),"")</x:f>
        <x:v>39.333333333333329</x:v>
      </x:c>
      <x:c r="O46" s="2">
        <x:f>IFERROR(VLOOKUP(O44,$A$2:$H$109,8,0),"")</x:f>
        <x:v>-16.666666666666664</x:v>
      </x:c>
      <x:c r="P46" s="2">
        <x:f>IFERROR(VLOOKUP(P44,$A$2:$H$109,8,0),"")</x:f>
        <x:v>45.914893617021278</x:v>
      </x:c>
      <x:c r="Q46" s="2">
        <x:f>IFERROR(VLOOKUP(Q44,$A$2:$H$109,8,0),"")</x:f>
        <x:v>59.913043478260867</x:v>
      </x:c>
      <x:c r="R46" s="2" t="str">
        <x:f>IFERROR(VLOOKUP(R44,$A$2:$H$109,8,0),"")</x:f>
        <x:v/>
      </x:c>
      <x:c r="S46" s="17"/>
    </x:row>
    <x:row r="47" spans="1:19">
      <x:c r="A47" s="8" t="s">
        <x:v>35</x:v>
      </x:c>
      <x:c r="B47" s="2" t="s">
        <x:v>37</x:v>
      </x:c>
      <x:c r="C47" s="2" t="s">
        <x:v>93</x:v>
      </x:c>
      <x:c r="D47" s="2" t="s">
        <x:v>98</x:v>
      </x:c>
      <x:c r="E47" s="2" t="s">
        <x:v>110</x:v>
      </x:c>
      <x:c r="F47" s="2"/>
      <x:c r="G47" s="2"/>
      <x:c r="H47" s="17">
        <x:f>SUMPRODUCT(B48:G48,B49:G49)/SUM(B48:G48)</x:f>
        <x:v>-30.625</x:v>
      </x:c>
      <x:c r="M47" s="9" t="s">
        <x:v>65</x:v>
      </x:c>
      <x:c r="N47" s="2" t="s">
        <x:v>111</x:v>
      </x:c>
      <x:c r="O47" s="2" t="s">
        <x:v>112</x:v>
      </x:c>
      <x:c r="P47" s="2" t="s">
        <x:v>115</x:v>
      </x:c>
      <x:c r="Q47" s="2" t="s">
        <x:v>114</x:v>
      </x:c>
      <x:c r="R47" s="2" t="s">
        <x:v>6</x:v>
      </x:c>
      <x:c r="S47" s="17">
        <x:f>SUMPRODUCT(N48:R48,N49:R49)/SUM(N48:R48)</x:f>
        <x:v>38.866056902624507</x:v>
      </x:c>
    </x:row>
    <x:row r="48" spans="1:19">
      <x:c r="A48" s="8"/>
      <x:c r="B48" s="2">
        <x:v>0.40000000000000002</x:v>
      </x:c>
      <x:c r="C48" s="2">
        <x:v>0.90000000000000002</x:v>
      </x:c>
      <x:c r="D48" s="2">
        <x:v>0.59999999999999998</x:v>
      </x:c>
      <x:c r="E48" s="2">
        <x:v>0.5</x:v>
      </x:c>
      <x:c r="F48" s="2"/>
      <x:c r="G48" s="2"/>
      <x:c r="H48" s="17"/>
      <x:c r="M48" s="8" t="s">
        <x:v>65</x:v>
      </x:c>
      <x:c r="N48" s="2">
        <x:v>1</x:v>
      </x:c>
      <x:c r="O48" s="2">
        <x:v>0.25</x:v>
      </x:c>
      <x:c r="P48" s="2">
        <x:v>0.25</x:v>
      </x:c>
      <x:c r="Q48" s="2">
        <x:v>0.5</x:v>
      </x:c>
      <x:c r="R48" s="2">
        <x:v>0.5</x:v>
      </x:c>
      <x:c r="S48" s="17"/>
    </x:row>
    <x:row r="49" spans="1:19">
      <x:c r="A49" s="8"/>
      <x:c r="B49" s="2">
        <x:f>IFERROR(VLOOKUP(B47,Sheet1!$A$1:$B$15,2,0),"")</x:f>
        <x:v>-10</x:v>
      </x:c>
      <x:c r="C49" s="2">
        <x:f>IFERROR(VLOOKUP(C47,Sheet1!$A$1:$B$15,2,0),"")</x:f>
        <x:v>-73</x:v>
      </x:c>
      <x:c r="D49" s="2">
        <x:f>IFERROR(VLOOKUP(D47,Sheet1!$A$1:$B$15,2,0),"")</x:f>
        <x:v>27</x:v>
      </x:c>
      <x:c r="E49" s="2">
        <x:f>IFERROR(VLOOKUP(E47,Sheet1!$A$1:$B$15,2,0),"")</x:f>
        <x:v>-40</x:v>
      </x:c>
      <x:c r="F49" s="2" t="str">
        <x:f>IFERROR(VLOOKUP(F47,Sheet1!$A$1:$B$15,2,0),"")</x:f>
        <x:v/>
      </x:c>
      <x:c r="G49" s="2" t="str">
        <x:f>IFERROR(VLOOKUP(G47,Sheet1!$A$1:$B$15,2,0),"")</x:f>
        <x:v/>
      </x:c>
      <x:c r="H49" s="17"/>
      <x:c r="M49" s="8" t="s">
        <x:v>65</x:v>
      </x:c>
      <x:c r="N49" s="2">
        <x:f>IFERROR(VLOOKUP(N47,$A$2:$H$109,8,0),"")</x:f>
        <x:v>39.333333333333329</x:v>
      </x:c>
      <x:c r="O49" s="2">
        <x:f>IFERROR(VLOOKUP(O47,$A$2:$H$109,8,0),"")</x:f>
        <x:v>-16.666666666666664</x:v>
      </x:c>
      <x:c r="P49" s="2">
        <x:f>IFERROR(VLOOKUP(P47,$A$2:$H$109,8,0),"")</x:f>
        <x:v>36.338028169014088</x:v>
      </x:c>
      <x:c r="Q49" s="2">
        <x:f>IFERROR(VLOOKUP(Q47,$A$2:$H$109,8,0),"")</x:f>
        <x:v>45.914893617021278</x:v>
      </x:c>
      <x:c r="R49" s="2">
        <x:f>IFERROR(VLOOKUP(R47,$A$2:$H$109,8,0),"")</x:f>
        <x:v>59.913043478260867</x:v>
      </x:c>
      <x:c r="S49" s="17"/>
    </x:row>
    <x:row r="50" spans="1:19">
      <x:c r="A50" s="8" t="s">
        <x:v>115</x:v>
      </x:c>
      <x:c r="B50" s="2" t="s">
        <x:v>37</x:v>
      </x:c>
      <x:c r="C50" s="2" t="s">
        <x:v>50</x:v>
      </x:c>
      <x:c r="D50" s="2" t="s">
        <x:v>6</x:v>
      </x:c>
      <x:c r="E50" s="2" t="s">
        <x:v>114</x:v>
      </x:c>
      <x:c r="F50" s="2" t="s">
        <x:v>108</x:v>
      </x:c>
      <x:c r="G50" s="2"/>
      <x:c r="H50" s="17">
        <x:f>SUMPRODUCT(B51:G51,B52:G52)/SUM(B51:G51)</x:f>
        <x:v>36.338028169014088</x:v>
      </x:c>
      <x:c r="M50" s="8" t="s">
        <x:v>48</x:v>
      </x:c>
      <x:c r="N50" s="2" t="s">
        <x:v>16</x:v>
      </x:c>
      <x:c r="O50" s="2" t="s">
        <x:v>39</x:v>
      </x:c>
      <x:c r="P50" s="2"/>
      <x:c r="Q50" s="2"/>
      <x:c r="R50" s="2"/>
      <x:c r="S50" s="17">
        <x:f>SUMPRODUCT(N51:R51,N52:R52)/SUM(N51:R51)</x:f>
        <x:v>-20.82627450980392</x:v>
      </x:c>
    </x:row>
    <x:row r="51" spans="1:19">
      <x:c r="A51" s="8"/>
      <x:c r="B51" s="2">
        <x:v>0.40000000000000002</x:v>
      </x:c>
      <x:c r="C51" s="2">
        <x:v>0.69999999999999996</x:v>
      </x:c>
      <x:c r="D51" s="2">
        <x:v>0.90000000000000002</x:v>
      </x:c>
      <x:c r="E51" s="2">
        <x:v>0.84999999999999998</x:v>
      </x:c>
      <x:c r="F51" s="2">
        <x:v>0.69999999999999996</x:v>
      </x:c>
      <x:c r="G51" s="2"/>
      <x:c r="H51" s="17"/>
      <x:c r="M51" s="8"/>
      <x:c r="N51" s="2">
        <x:v>1</x:v>
      </x:c>
      <x:c r="O51" s="2">
        <x:v>1</x:v>
      </x:c>
      <x:c r="P51" s="2"/>
      <x:c r="Q51" s="2"/>
      <x:c r="R51" s="2"/>
      <x:c r="S51" s="17"/>
    </x:row>
    <x:row r="52" spans="1:19">
      <x:c r="A52" s="8"/>
      <x:c r="B52" s="2">
        <x:f>IFERROR(VLOOKUP(B50,Sheet1!$A$1:$B$15,2,0),"")</x:f>
        <x:v>-10</x:v>
      </x:c>
      <x:c r="C52" s="2">
        <x:f>IFERROR(VLOOKUP(C50,Sheet1!$A$1:$B$15,2,0),"")</x:f>
        <x:v>156</x:v>
      </x:c>
      <x:c r="D52" s="2">
        <x:f>IFERROR(VLOOKUP(D50,Sheet1!$A$1:$B$15,2,0),"")</x:f>
        <x:v>12</x:v>
      </x:c>
      <x:c r="E52" s="2">
        <x:f>IFERROR(VLOOKUP(E50,Sheet1!$A$1:$B$15,2,0),"")</x:f>
        <x:v>26</x:v>
      </x:c>
      <x:c r="F52" s="2">
        <x:f>IFERROR(VLOOKUP(F50,Sheet1!$A$1:$B$15,2,0),"")</x:f>
        <x:v>-13</x:v>
      </x:c>
      <x:c r="G52" s="2" t="str">
        <x:f>IFERROR(VLOOKUP(G50,Sheet1!$A$1:$B$15,2,0),"")</x:f>
        <x:v/>
      </x:c>
      <x:c r="H52" s="17"/>
      <x:c r="M52" s="8"/>
      <x:c r="N52" s="2">
        <x:f>IFERROR(VLOOKUP(N50,$A$2:$H$109,8,0),"")</x:f>
        <x:v>-22.372549019607838</x:v>
      </x:c>
      <x:c r="O52" s="2">
        <x:f>IFERROR(VLOOKUP(O50,$A$2:$H$109,8,0),"")</x:f>
        <x:v>-19.280000000000001</x:v>
      </x:c>
      <x:c r="P52" s="2" t="str">
        <x:f>IFERROR(VLOOKUP(P50,$A$2:$H$109,8,0),"")</x:f>
        <x:v/>
      </x:c>
      <x:c r="Q52" s="2" t="str">
        <x:f>IFERROR(VLOOKUP(Q50,$A$2:$H$109,8,0),"")</x:f>
        <x:v/>
      </x:c>
      <x:c r="R52" s="2" t="str">
        <x:f>IFERROR(VLOOKUP(R50,$A$2:$H$109,8,0),"")</x:f>
        <x:v/>
      </x:c>
      <x:c r="S52" s="17"/>
    </x:row>
    <x:row r="53" spans="1:19">
      <x:c r="A53" s="8" t="s">
        <x:v>111</x:v>
      </x:c>
      <x:c r="B53" s="2" t="s">
        <x:v>37</x:v>
      </x:c>
      <x:c r="C53" s="2" t="s">
        <x:v>15</x:v>
      </x:c>
      <x:c r="D53" s="2" t="s">
        <x:v>50</x:v>
      </x:c>
      <x:c r="E53" s="2" t="s">
        <x:v>98</x:v>
      </x:c>
      <x:c r="F53" s="2"/>
      <x:c r="G53" s="2"/>
      <x:c r="H53" s="17">
        <x:f>SUMPRODUCT(B54:G54,B55:G55)/SUM(B54:G54)</x:f>
        <x:v>39.333333333333329</x:v>
      </x:c>
      <x:c r="M53" s="8" t="s">
        <x:v>7</x:v>
      </x:c>
      <x:c r="N53" s="2" t="s">
        <x:v>101</x:v>
      </x:c>
      <x:c r="O53" s="2" t="s">
        <x:v>118</x:v>
      </x:c>
      <x:c r="P53" s="2"/>
      <x:c r="Q53" s="2"/>
      <x:c r="R53" s="2"/>
      <x:c r="S53" s="17">
        <x:f>SUMPRODUCT(N54:R54,N55:R55)/SUM(N54:R54)</x:f>
        <x:v>-12.18350168350168</x:v>
      </x:c>
    </x:row>
    <x:row r="54" spans="1:19">
      <x:c r="A54" s="8"/>
      <x:c r="B54" s="2">
        <x:v>0.40000000000000002</x:v>
      </x:c>
      <x:c r="C54" s="2">
        <x:v>0.90000000000000002</x:v>
      </x:c>
      <x:c r="D54" s="2">
        <x:v>0.69999999999999996</x:v>
      </x:c>
      <x:c r="E54" s="2">
        <x:v>0.40000000000000002</x:v>
      </x:c>
      <x:c r="F54" s="2"/>
      <x:c r="G54" s="2"/>
      <x:c r="H54" s="17"/>
      <x:c r="M54" s="8"/>
      <x:c r="N54" s="2">
        <x:v>1</x:v>
      </x:c>
      <x:c r="O54" s="2">
        <x:v>1</x:v>
      </x:c>
      <x:c r="P54" s="2"/>
      <x:c r="Q54" s="2"/>
      <x:c r="R54" s="2"/>
      <x:c r="S54" s="17"/>
    </x:row>
    <x:row r="55" spans="1:19">
      <x:c r="A55" s="8"/>
      <x:c r="B55" s="2">
        <x:f>IFERROR(VLOOKUP(B53,Sheet1!$A$1:$B$15,2,0),"")</x:f>
        <x:v>-10</x:v>
      </x:c>
      <x:c r="C55" s="2">
        <x:f>IFERROR(VLOOKUP(C53,Sheet1!$A$1:$B$15,2,0),"")</x:f>
        <x:v>-24</x:v>
      </x:c>
      <x:c r="D55" s="2">
        <x:f>IFERROR(VLOOKUP(D53,Sheet1!$A$1:$B$15,2,0),"")</x:f>
        <x:v>156</x:v>
      </x:c>
      <x:c r="E55" s="2">
        <x:f>IFERROR(VLOOKUP(E53,Sheet1!$A$1:$B$15,2,0),"")</x:f>
        <x:v>27</x:v>
      </x:c>
      <x:c r="F55" s="2" t="str">
        <x:f>IFERROR(VLOOKUP(F53,Sheet1!$A$1:$B$15,2,0),"")</x:f>
        <x:v/>
      </x:c>
      <x:c r="G55" s="2" t="str">
        <x:f>IFERROR(VLOOKUP(G53,Sheet1!$A$1:$B$15,2,0),"")</x:f>
        <x:v/>
      </x:c>
      <x:c r="H55" s="17"/>
      <x:c r="M55" s="8"/>
      <x:c r="N55" s="2">
        <x:f>IFERROR(VLOOKUP(N53,$A$2:$H$109,8,0),"")</x:f>
        <x:v>-22.18518518518518</x:v>
      </x:c>
      <x:c r="O55" s="2">
        <x:f>IFERROR(VLOOKUP(O53,$A$2:$H$109,8,0),"")</x:f>
        <x:v>-2.1818181818181812</x:v>
      </x:c>
      <x:c r="P55" s="2" t="str">
        <x:f>IFERROR(VLOOKUP(P53,$A$2:$H$109,8,0),"")</x:f>
        <x:v/>
      </x:c>
      <x:c r="Q55" s="2" t="str">
        <x:f>IFERROR(VLOOKUP(Q53,$A$2:$H$109,8,0),"")</x:f>
        <x:v/>
      </x:c>
      <x:c r="R55" s="2" t="str">
        <x:f>IFERROR(VLOOKUP(R53,$A$2:$H$109,8,0),"")</x:f>
        <x:v/>
      </x:c>
      <x:c r="S55" s="17"/>
    </x:row>
    <x:row r="56" spans="1:19">
      <x:c r="A56" s="8" t="s">
        <x:v>26</x:v>
      </x:c>
      <x:c r="B56" s="2" t="s">
        <x:v>37</x:v>
      </x:c>
      <x:c r="C56" s="2" t="s">
        <x:v>93</x:v>
      </x:c>
      <x:c r="D56" s="2" t="s">
        <x:v>102</x:v>
      </x:c>
      <x:c r="E56" s="2" t="s">
        <x:v>103</x:v>
      </x:c>
      <x:c r="F56" s="2" t="s">
        <x:v>104</x:v>
      </x:c>
      <x:c r="G56" s="2" t="s">
        <x:v>110</x:v>
      </x:c>
      <x:c r="H56" s="17">
        <x:f>SUMPRODUCT(B57:G57,B58:G58)/SUM(B57:G57)</x:f>
        <x:v>47.291139240506332</x:v>
      </x:c>
      <x:c r="M56" s="8" t="s">
        <x:v>22</x:v>
      </x:c>
      <x:c r="N56" s="2" t="s">
        <x:v>118</x:v>
      </x:c>
      <x:c r="O56" s="2" t="s">
        <x:v>27</x:v>
      </x:c>
      <x:c r="P56" s="2"/>
      <x:c r="Q56" s="2"/>
      <x:c r="R56" s="2"/>
      <x:c r="S56" s="17">
        <x:f>SUMPRODUCT(N57:R57,N58:R58)/SUM(N57:R57)</x:f>
        <x:v>11.155244755244755</x:v>
      </x:c>
    </x:row>
    <x:row r="57" spans="1:19">
      <x:c r="A57" s="8"/>
      <x:c r="B57" s="2">
        <x:v>0.29999999999999999</x:v>
      </x:c>
      <x:c r="C57" s="2">
        <x:v>0.20000000000000001</x:v>
      </x:c>
      <x:c r="D57" s="2">
        <x:v>0.90000000000000002</x:v>
      </x:c>
      <x:c r="E57" s="2">
        <x:v>0.80000000000000004</x:v>
      </x:c>
      <x:c r="F57" s="2">
        <x:v>0.90000000000000002</x:v>
      </x:c>
      <x:c r="G57" s="2">
        <x:v>0.84999999999999998</x:v>
      </x:c>
      <x:c r="H57" s="17"/>
      <x:c r="M57" s="8"/>
      <x:c r="N57" s="2">
        <x:v>1</x:v>
      </x:c>
      <x:c r="O57" s="2">
        <x:v>1</x:v>
      </x:c>
      <x:c r="P57" s="2"/>
      <x:c r="Q57" s="2"/>
      <x:c r="R57" s="2"/>
      <x:c r="S57" s="17"/>
    </x:row>
    <x:row r="58" spans="1:19">
      <x:c r="A58" s="8"/>
      <x:c r="B58" s="2">
        <x:f>IFERROR(VLOOKUP(B56,Sheet1!$A$1:$B$15,2,0),"")</x:f>
        <x:v>-10</x:v>
      </x:c>
      <x:c r="C58" s="2">
        <x:f>IFERROR(VLOOKUP(C56,Sheet1!$A$1:$B$15,2,0),"")</x:f>
        <x:v>-73</x:v>
      </x:c>
      <x:c r="D58" s="2">
        <x:f>IFERROR(VLOOKUP(D56,Sheet1!$A$1:$B$15,2,0),"")</x:f>
        <x:v>26</x:v>
      </x:c>
      <x:c r="E58" s="2">
        <x:f>IFERROR(VLOOKUP(E56,Sheet1!$A$1:$B$15,2,0),"")</x:f>
        <x:v>82</x:v>
      </x:c>
      <x:c r="F58" s="2">
        <x:f>IFERROR(VLOOKUP(F56,Sheet1!$A$1:$B$15,2,0),"")</x:f>
        <x:v>166</x:v>
      </x:c>
      <x:c r="G58" s="2">
        <x:f>IFERROR(VLOOKUP(G56,Sheet1!$A$1:$B$15,2,0),"")</x:f>
        <x:v>-40</x:v>
      </x:c>
      <x:c r="H58" s="17"/>
      <x:c r="M58" s="8"/>
      <x:c r="N58" s="2">
        <x:f>IFERROR(VLOOKUP(N56,$A$2:$H$109,8,0),"")</x:f>
        <x:v>-2.1818181818181812</x:v>
      </x:c>
      <x:c r="O58" s="2">
        <x:f>IFERROR(VLOOKUP(O56,$A$2:$H$109,8,0),"")</x:f>
        <x:v>24.492307692307691</x:v>
      </x:c>
      <x:c r="P58" s="2" t="str">
        <x:f>IFERROR(VLOOKUP(P56,$A$2:$H$109,8,0),"")</x:f>
        <x:v/>
      </x:c>
      <x:c r="Q58" s="2" t="str">
        <x:f>IFERROR(VLOOKUP(Q56,$A$2:$H$109,8,0),"")</x:f>
        <x:v/>
      </x:c>
      <x:c r="R58" s="2" t="str">
        <x:f>IFERROR(VLOOKUP(R56,$A$2:$H$109,8,0),"")</x:f>
        <x:v/>
      </x:c>
      <x:c r="S58" s="17"/>
    </x:row>
    <x:row r="59" spans="1:19">
      <x:c r="A59" s="8" t="s">
        <x:v>109</x:v>
      </x:c>
      <x:c r="B59" s="2" t="s">
        <x:v>37</x:v>
      </x:c>
      <x:c r="C59" s="2" t="s">
        <x:v>118</x:v>
      </x:c>
      <x:c r="D59" s="2" t="s">
        <x:v>15</x:v>
      </x:c>
      <x:c r="E59" s="2" t="s">
        <x:v>50</x:v>
      </x:c>
      <x:c r="F59" s="2" t="s">
        <x:v>6</x:v>
      </x:c>
      <x:c r="G59" s="2"/>
      <x:c r="H59" s="17">
        <x:f>SUMPRODUCT(B60:G60,B61:G61)/SUM(B60:G60)</x:f>
        <x:v>45.040000000000006</x:v>
      </x:c>
      <x:c r="M59" s="8" t="s">
        <x:v>4</x:v>
      </x:c>
      <x:c r="N59" s="2" t="s">
        <x:v>44</x:v>
      </x:c>
      <x:c r="O59" s="2" t="s">
        <x:v>94</x:v>
      </x:c>
      <x:c r="P59" s="2" t="s">
        <x:v>6</x:v>
      </x:c>
      <x:c r="Q59" s="2"/>
      <x:c r="R59" s="2"/>
      <x:c r="S59" s="17">
        <x:f>SUMPRODUCT(N60:R60,N61:R61)/SUM(N60:R60)</x:f>
        <x:v>22.177840112201967</x:v>
      </x:c>
    </x:row>
    <x:row r="60" spans="1:19">
      <x:c r="A60" s="8"/>
      <x:c r="B60" s="2">
        <x:v>0.29999999999999999</x:v>
      </x:c>
      <x:c r="C60" s="2">
        <x:v>0.10000000000000001</x:v>
      </x:c>
      <x:c r="D60" s="2">
        <x:v>0.69999999999999996</x:v>
      </x:c>
      <x:c r="E60" s="2">
        <x:v>0.80000000000000004</x:v>
      </x:c>
      <x:c r="F60" s="2">
        <x:v>0.59999999999999998</x:v>
      </x:c>
      <x:c r="G60" s="2"/>
      <x:c r="H60" s="17"/>
      <x:c r="M60" s="8"/>
      <x:c r="N60" s="2">
        <x:v>1</x:v>
      </x:c>
      <x:c r="O60" s="2">
        <x:v>1</x:v>
      </x:c>
      <x:c r="P60" s="2">
        <x:v>0.5</x:v>
      </x:c>
      <x:c r="Q60" s="2"/>
      <x:c r="R60" s="2"/>
      <x:c r="S60" s="17"/>
    </x:row>
    <x:row r="61" spans="1:19">
      <x:c r="A61" s="8"/>
      <x:c r="B61" s="2">
        <x:f>IFERROR(VLOOKUP(B59,Sheet1!$A$1:$B$15,2,0),"")</x:f>
        <x:v>-10</x:v>
      </x:c>
      <x:c r="C61" s="2">
        <x:f>IFERROR(VLOOKUP(C59,Sheet1!$A$1:$B$15,2,0),"")</x:f>
        <x:v>4</x:v>
      </x:c>
      <x:c r="D61" s="2">
        <x:f>IFERROR(VLOOKUP(D59,Sheet1!$A$1:$B$15,2,0),"")</x:f>
        <x:v>-24</x:v>
      </x:c>
      <x:c r="E61" s="2">
        <x:f>IFERROR(VLOOKUP(E59,Sheet1!$A$1:$B$15,2,0),"")</x:f>
        <x:v>156</x:v>
      </x:c>
      <x:c r="F61" s="2">
        <x:f>IFERROR(VLOOKUP(F59,Sheet1!$A$1:$B$15,2,0),"")</x:f>
        <x:v>12</x:v>
      </x:c>
      <x:c r="G61" s="2" t="str">
        <x:f>IFERROR(VLOOKUP(G59,Sheet1!$A$1:$B$15,2,0),"")</x:f>
        <x:v/>
      </x:c>
      <x:c r="H61" s="17"/>
      <x:c r="M61" s="8"/>
      <x:c r="N61" s="2">
        <x:f>IFERROR(VLOOKUP(N59,$A$2:$H$109,8,0),"")</x:f>
        <x:v>43.096774193548399</x:v>
      </x:c>
      <x:c r="O61" s="2">
        <x:f>IFERROR(VLOOKUP(O59,$A$2:$H$109,8,0),"")</x:f>
        <x:v>-17.608695652173914</x:v>
      </x:c>
      <x:c r="P61" s="2">
        <x:f>IFERROR(VLOOKUP(P59,$A$2:$H$109,8,0),"")</x:f>
        <x:v>59.913043478260867</x:v>
      </x:c>
      <x:c r="Q61" s="2" t="str">
        <x:f>IFERROR(VLOOKUP(Q59,$A$2:$H$109,8,0),"")</x:f>
        <x:v/>
      </x:c>
      <x:c r="R61" s="2" t="str">
        <x:f>IFERROR(VLOOKUP(R59,$A$2:$H$109,8,0),"")</x:f>
        <x:v/>
      </x:c>
      <x:c r="S61" s="17"/>
    </x:row>
    <x:row r="62" spans="1:19">
      <x:c r="A62" s="8" t="s">
        <x:v>107</x:v>
      </x:c>
      <x:c r="B62" s="2" t="s">
        <x:v>37</x:v>
      </x:c>
      <x:c r="C62" s="2" t="s">
        <x:v>102</x:v>
      </x:c>
      <x:c r="D62" s="2" t="s">
        <x:v>104</x:v>
      </x:c>
      <x:c r="E62" s="2" t="s">
        <x:v>110</x:v>
      </x:c>
      <x:c r="F62" s="2"/>
      <x:c r="G62" s="2"/>
      <x:c r="H62" s="17">
        <x:f>SUMPRODUCT(B63:G63,B64:G64)/SUM(B63:G63)</x:f>
        <x:v>31.999999999999996</x:v>
      </x:c>
      <x:c r="M62" s="8" t="s">
        <x:v>5</x:v>
      </x:c>
      <x:c r="N62" s="2" t="s">
        <x:v>29</x:v>
      </x:c>
      <x:c r="O62" s="2" t="s">
        <x:v>94</x:v>
      </x:c>
      <x:c r="P62" s="2" t="s">
        <x:v>6</x:v>
      </x:c>
      <x:c r="Q62" s="2"/>
      <x:c r="R62" s="2"/>
      <x:c r="S62" s="17">
        <x:f>SUMPRODUCT(N63:R63,N64:R64)/SUM(N63:R63)</x:f>
        <x:v>15.769899665551838</x:v>
      </x:c>
    </x:row>
    <x:row r="63" spans="1:19">
      <x:c r="A63" s="8"/>
      <x:c r="B63" s="2">
        <x:v>0.29999999999999999</x:v>
      </x:c>
      <x:c r="C63" s="2">
        <x:v>1</x:v>
      </x:c>
      <x:c r="D63" s="2">
        <x:v>0.29999999999999999</x:v>
      </x:c>
      <x:c r="E63" s="2">
        <x:v>0.29999999999999999</x:v>
      </x:c>
      <x:c r="F63" s="2"/>
      <x:c r="G63" s="2"/>
      <x:c r="H63" s="17"/>
      <x:c r="M63" s="8"/>
      <x:c r="N63" s="2">
        <x:v>1</x:v>
      </x:c>
      <x:c r="O63" s="2">
        <x:v>1</x:v>
      </x:c>
      <x:c r="P63" s="2">
        <x:v>0.5</x:v>
      </x:c>
      <x:c r="Q63" s="2"/>
      <x:c r="R63" s="2"/>
      <x:c r="S63" s="17"/>
    </x:row>
    <x:row r="64" spans="1:19">
      <x:c r="A64" s="8"/>
      <x:c r="B64" s="2">
        <x:f>IFERROR(VLOOKUP(B62,Sheet1!$A$1:$B$15,2,0),"")</x:f>
        <x:v>-10</x:v>
      </x:c>
      <x:c r="C64" s="2">
        <x:f>IFERROR(VLOOKUP(C62,Sheet1!$A$1:$B$15,2,0),"")</x:f>
        <x:v>26</x:v>
      </x:c>
      <x:c r="D64" s="2">
        <x:f>IFERROR(VLOOKUP(D62,Sheet1!$A$1:$B$15,2,0),"")</x:f>
        <x:v>166</x:v>
      </x:c>
      <x:c r="E64" s="2">
        <x:f>IFERROR(VLOOKUP(E62,Sheet1!$A$1:$B$15,2,0),"")</x:f>
        <x:v>-40</x:v>
      </x:c>
      <x:c r="F64" s="2" t="str">
        <x:f>IFERROR(VLOOKUP(F62,Sheet1!$A$1:$B$15,2,0),"")</x:f>
        <x:v/>
      </x:c>
      <x:c r="G64" s="2" t="str">
        <x:f>IFERROR(VLOOKUP(G62,Sheet1!$A$1:$B$15,2,0),"")</x:f>
        <x:v/>
      </x:c>
      <x:c r="H64" s="17"/>
      <x:c r="M64" s="8"/>
      <x:c r="N64" s="2">
        <x:f>IFERROR(VLOOKUP(N62,$A$2:$H$109,8,0),"")</x:f>
        <x:v>27.076923076923077</x:v>
      </x:c>
      <x:c r="O64" s="2">
        <x:f>IFERROR(VLOOKUP(O62,$A$2:$H$109,8,0),"")</x:f>
        <x:v>-17.608695652173914</x:v>
      </x:c>
      <x:c r="P64" s="2">
        <x:f>IFERROR(VLOOKUP(P62,$A$2:$H$109,8,0),"")</x:f>
        <x:v>59.913043478260867</x:v>
      </x:c>
      <x:c r="Q64" s="2" t="str">
        <x:f>IFERROR(VLOOKUP(Q62,$A$2:$H$109,8,0),"")</x:f>
        <x:v/>
      </x:c>
      <x:c r="R64" s="2" t="str">
        <x:f>IFERROR(VLOOKUP(R62,$A$2:$H$109,8,0),"")</x:f>
        <x:v/>
      </x:c>
      <x:c r="S64" s="17"/>
    </x:row>
    <x:row r="65" spans="1:19">
      <x:c r="A65" s="8" t="s">
        <x:v>27</x:v>
      </x:c>
      <x:c r="B65" s="2" t="s">
        <x:v>118</x:v>
      </x:c>
      <x:c r="C65" s="2" t="s">
        <x:v>93</x:v>
      </x:c>
      <x:c r="D65" s="2" t="s">
        <x:v>15</x:v>
      </x:c>
      <x:c r="E65" s="2" t="s">
        <x:v>50</x:v>
      </x:c>
      <x:c r="F65" s="2"/>
      <x:c r="G65" s="2"/>
      <x:c r="H65" s="17">
        <x:f>SUMPRODUCT(B66:G66,B67:G67)/SUM(B66:G66)</x:f>
        <x:v>24.492307692307691</x:v>
      </x:c>
      <x:c r="M65" s="8" t="s">
        <x:v>9</x:v>
      </x:c>
      <x:c r="N65" s="2" t="s">
        <x:v>117</x:v>
      </x:c>
      <x:c r="O65" s="2" t="s">
        <x:v>118</x:v>
      </x:c>
      <x:c r="P65" s="2" t="s">
        <x:v>6</x:v>
      </x:c>
      <x:c r="Q65" s="2"/>
      <x:c r="R65" s="2"/>
      <x:c r="S65" s="17">
        <x:f>SUMPRODUCT(N66:R66,N67:R67)/SUM(N66:R66)</x:f>
        <x:v>10.824167137210615</x:v>
      </x:c>
    </x:row>
    <x:row r="66" spans="1:19">
      <x:c r="A66" s="8"/>
      <x:c r="B66" s="2">
        <x:v>0.59999999999999998</x:v>
      </x:c>
      <x:c r="C66" s="2">
        <x:v>0.80000000000000004</x:v>
      </x:c>
      <x:c r="D66" s="2">
        <x:v>0.84999999999999998</x:v>
      </x:c>
      <x:c r="E66" s="2">
        <x:v>1</x:v>
      </x:c>
      <x:c r="F66" s="2"/>
      <x:c r="G66" s="2"/>
      <x:c r="H66" s="17"/>
      <x:c r="M66" s="8"/>
      <x:c r="N66" s="2">
        <x:v>1</x:v>
      </x:c>
      <x:c r="O66" s="2">
        <x:v>1</x:v>
      </x:c>
      <x:c r="P66" s="2">
        <x:v>0.5</x:v>
      </x:c>
      <x:c r="Q66" s="2"/>
      <x:c r="R66" s="2"/>
      <x:c r="S66" s="17"/>
    </x:row>
    <x:row r="67" spans="1:19">
      <x:c r="A67" s="8"/>
      <x:c r="B67" s="2">
        <x:f>IFERROR(VLOOKUP(B65,Sheet1!$A$1:$B$15,2,0),"")</x:f>
        <x:v>4</x:v>
      </x:c>
      <x:c r="C67" s="2">
        <x:f>IFERROR(VLOOKUP(C65,Sheet1!$A$1:$B$15,2,0),"")</x:f>
        <x:v>-73</x:v>
      </x:c>
      <x:c r="D67" s="2">
        <x:f>IFERROR(VLOOKUP(D65,Sheet1!$A$1:$B$15,2,0),"")</x:f>
        <x:v>-24</x:v>
      </x:c>
      <x:c r="E67" s="2">
        <x:f>IFERROR(VLOOKUP(E65,Sheet1!$A$1:$B$15,2,0),"")</x:f>
        <x:v>156</x:v>
      </x:c>
      <x:c r="F67" s="2" t="str">
        <x:f>IFERROR(VLOOKUP(F65,Sheet1!$A$1:$B$15,2,0),"")</x:f>
        <x:v/>
      </x:c>
      <x:c r="G67" s="2" t="str">
        <x:f>IFERROR(VLOOKUP(G65,Sheet1!$A$1:$B$15,2,0),"")</x:f>
        <x:v/>
      </x:c>
      <x:c r="H67" s="17"/>
      <x:c r="M67" s="8"/>
      <x:c r="N67" s="2">
        <x:f>IFERROR(VLOOKUP(N65,$A$2:$H$109,8,0),"")</x:f>
        <x:v>-0.71428571428571463</x:v>
      </x:c>
      <x:c r="O67" s="2">
        <x:f>IFERROR(VLOOKUP(O65,$A$2:$H$109,8,0),"")</x:f>
        <x:v>-2.1818181818181812</x:v>
      </x:c>
      <x:c r="P67" s="2">
        <x:f>IFERROR(VLOOKUP(P65,$A$2:$H$109,8,0),"")</x:f>
        <x:v>59.913043478260867</x:v>
      </x:c>
      <x:c r="Q67" s="2" t="str">
        <x:f>IFERROR(VLOOKUP(Q65,$A$2:$H$109,8,0),"")</x:f>
        <x:v/>
      </x:c>
      <x:c r="R67" s="2" t="str">
        <x:f>IFERROR(VLOOKUP(R65,$A$2:$H$109,8,0),"")</x:f>
        <x:v/>
      </x:c>
      <x:c r="S67" s="17"/>
    </x:row>
    <x:row r="68" spans="1:19">
      <x:c r="A68" s="8" t="s">
        <x:v>46</x:v>
      </x:c>
      <x:c r="B68" s="2" t="s">
        <x:v>118</x:v>
      </x:c>
      <x:c r="C68" s="2" t="s">
        <x:v>93</x:v>
      </x:c>
      <x:c r="D68" s="2" t="s">
        <x:v>15</x:v>
      </x:c>
      <x:c r="E68" s="2" t="s">
        <x:v>98</x:v>
      </x:c>
      <x:c r="F68" s="2"/>
      <x:c r="G68" s="2"/>
      <x:c r="H68" s="17">
        <x:f>SUMPRODUCT(B69:G69,B70:G70)/SUM(B69:G69)</x:f>
        <x:v>-18.535714285714288</x:v>
      </x:c>
      <x:c r="M68" s="8" t="s">
        <x:v>0</x:v>
      </x:c>
      <x:c r="N68" s="2" t="s">
        <x:v>97</x:v>
      </x:c>
      <x:c r="O68" s="2" t="s">
        <x:v>16</x:v>
      </x:c>
      <x:c r="P68" s="2" t="s">
        <x:v>39</x:v>
      </x:c>
      <x:c r="Q68" s="2" t="s">
        <x:v>114</x:v>
      </x:c>
      <x:c r="R68" s="2"/>
      <x:c r="S68" s="17">
        <x:f>SUMPRODUCT(N69:R69,N70:R70)/SUM(N69:R69)</x:f>
        <x:v>21.189248879940507</x:v>
      </x:c>
    </x:row>
    <x:row r="69" spans="1:19">
      <x:c r="A69" s="8"/>
      <x:c r="B69" s="2">
        <x:v>0.29999999999999999</x:v>
      </x:c>
      <x:c r="C69" s="2">
        <x:v>0.90000000000000002</x:v>
      </x:c>
      <x:c r="D69" s="2">
        <x:v>0.59999999999999998</x:v>
      </x:c>
      <x:c r="E69" s="2">
        <x:v>1</x:v>
      </x:c>
      <x:c r="F69" s="2"/>
      <x:c r="G69" s="2"/>
      <x:c r="H69" s="17"/>
      <x:c r="M69" s="8"/>
      <x:c r="N69" s="2">
        <x:v>1</x:v>
      </x:c>
      <x:c r="O69" s="2">
        <x:v>0.5</x:v>
      </x:c>
      <x:c r="P69" s="2">
        <x:v>0.25</x:v>
      </x:c>
      <x:c r="Q69" s="2">
        <x:v>0.5</x:v>
      </x:c>
      <x:c r="R69" s="2"/>
      <x:c r="S69" s="17"/>
    </x:row>
    <x:row r="70" spans="1:19">
      <x:c r="A70" s="8"/>
      <x:c r="B70" s="2">
        <x:f>IFERROR(VLOOKUP(B68,Sheet1!$A$1:$B$15,2,0),"")</x:f>
        <x:v>4</x:v>
      </x:c>
      <x:c r="C70" s="2">
        <x:f>IFERROR(VLOOKUP(C68,Sheet1!$A$1:$B$15,2,0),"")</x:f>
        <x:v>-73</x:v>
      </x:c>
      <x:c r="D70" s="2">
        <x:f>IFERROR(VLOOKUP(D68,Sheet1!$A$1:$B$15,2,0),"")</x:f>
        <x:v>-24</x:v>
      </x:c>
      <x:c r="E70" s="2">
        <x:f>IFERROR(VLOOKUP(E68,Sheet1!$A$1:$B$15,2,0),"")</x:f>
        <x:v>27</x:v>
      </x:c>
      <x:c r="F70" s="2" t="str">
        <x:f>IFERROR(VLOOKUP(F68,Sheet1!$A$1:$B$15,2,0),"")</x:f>
        <x:v/>
      </x:c>
      <x:c r="G70" s="2" t="str">
        <x:f>IFERROR(VLOOKUP(G68,Sheet1!$A$1:$B$15,2,0),"")</x:f>
        <x:v/>
      </x:c>
      <x:c r="H70" s="17"/>
      <x:c r="M70" s="8"/>
      <x:c r="N70" s="2">
        <x:f>IFERROR(VLOOKUP(N68,$A$2:$H$109,8,0),"")</x:f>
        <x:v>40.724637681159422</x:v>
      </x:c>
      <x:c r="O70" s="2">
        <x:f>IFERROR(VLOOKUP(O68,$A$2:$H$109,8,0),"")</x:f>
        <x:v>-22.372549019607838</x:v>
      </x:c>
      <x:c r="P70" s="2">
        <x:f>IFERROR(VLOOKUP(P68,$A$2:$H$109,8,0),"")</x:f>
        <x:v>-19.280000000000001</x:v>
      </x:c>
      <x:c r="Q70" s="2">
        <x:f>IFERROR(VLOOKUP(Q68,$A$2:$H$109,8,0),"")</x:f>
        <x:v>45.914893617021278</x:v>
      </x:c>
      <x:c r="R70" s="2" t="str">
        <x:f>IFERROR(VLOOKUP(R68,$A$2:$H$109,8,0),"")</x:f>
        <x:v/>
      </x:c>
      <x:c r="S70" s="17"/>
    </x:row>
    <x:row r="71" spans="1:19">
      <x:c r="A71" s="8" t="s">
        <x:v>8</x:v>
      </x:c>
      <x:c r="B71" s="2" t="s">
        <x:v>93</x:v>
      </x:c>
      <x:c r="C71" s="2" t="s">
        <x:v>15</x:v>
      </x:c>
      <x:c r="D71" s="2" t="s">
        <x:v>98</x:v>
      </x:c>
      <x:c r="E71" s="2"/>
      <x:c r="F71" s="2"/>
      <x:c r="G71" s="2"/>
      <x:c r="H71" s="17">
        <x:f>SUMPRODUCT(B72:G72,B73:G73)/SUM(B72:G72)</x:f>
        <x:v>-24.333333333333336</x:v>
      </x:c>
      <x:c r="M71" s="9" t="s">
        <x:v>67</x:v>
      </x:c>
      <x:c r="N71" s="2" t="s">
        <x:v>97</x:v>
      </x:c>
      <x:c r="O71" s="2" t="s">
        <x:v>50</x:v>
      </x:c>
      <x:c r="P71" s="2" t="s">
        <x:v>39</x:v>
      </x:c>
      <x:c r="Q71" s="2"/>
      <x:c r="R71" s="2"/>
      <x:c r="S71" s="17">
        <x:f>SUMPRODUCT(N72:R72,N73:R73)/SUM(N72:R72)</x:f>
        <x:v>25.81231884057971</x:v>
      </x:c>
    </x:row>
    <x:row r="72" spans="1:19">
      <x:c r="A72" s="8"/>
      <x:c r="B72" s="2">
        <x:v>0.84999999999999998</x:v>
      </x:c>
      <x:c r="C72" s="2">
        <x:v>0.90000000000000002</x:v>
      </x:c>
      <x:c r="D72" s="2">
        <x:v>0.80000000000000004</x:v>
      </x:c>
      <x:c r="E72" s="2"/>
      <x:c r="F72" s="2"/>
      <x:c r="G72" s="2"/>
      <x:c r="H72" s="17"/>
      <x:c r="M72" s="8"/>
      <x:c r="N72" s="2">
        <x:v>1</x:v>
      </x:c>
      <x:c r="O72" s="2">
        <x:v>0.5</x:v>
      </x:c>
      <x:c r="P72" s="2">
        <x:v>0.5</x:v>
      </x:c>
      <x:c r="Q72" s="2"/>
      <x:c r="R72" s="2"/>
      <x:c r="S72" s="17"/>
    </x:row>
    <x:row r="73" spans="1:19">
      <x:c r="A73" s="8"/>
      <x:c r="B73" s="2">
        <x:f>IFERROR(VLOOKUP(B71,Sheet1!$A$1:$B$15,2,0),"")</x:f>
        <x:v>-73</x:v>
      </x:c>
      <x:c r="C73" s="2">
        <x:f>IFERROR(VLOOKUP(C71,Sheet1!$A$1:$B$15,2,0),"")</x:f>
        <x:v>-24</x:v>
      </x:c>
      <x:c r="D73" s="2">
        <x:f>IFERROR(VLOOKUP(D71,Sheet1!$A$1:$B$15,2,0),"")</x:f>
        <x:v>27</x:v>
      </x:c>
      <x:c r="E73" s="2" t="str">
        <x:f>IFERROR(VLOOKUP(E71,Sheet1!$A$1:$B$15,2,0),"")</x:f>
        <x:v/>
      </x:c>
      <x:c r="F73" s="2" t="str">
        <x:f>IFERROR(VLOOKUP(F71,Sheet1!$A$1:$B$15,2,0),"")</x:f>
        <x:v/>
      </x:c>
      <x:c r="G73" s="2" t="str">
        <x:f>IFERROR(VLOOKUP(G71,Sheet1!$A$1:$B$15,2,0),"")</x:f>
        <x:v/>
      </x:c>
      <x:c r="H73" s="17"/>
      <x:c r="M73" s="8"/>
      <x:c r="N73" s="2">
        <x:f>IFERROR(VLOOKUP(N71,$A$2:$H$109,8,0),"")</x:f>
        <x:v>40.724637681159422</x:v>
      </x:c>
      <x:c r="O73" s="2">
        <x:f>IFERROR(VLOOKUP(O71,$A$2:$H$109,8,0),"")</x:f>
        <x:v>41.079999999999998</x:v>
      </x:c>
      <x:c r="P73" s="2">
        <x:f>IFERROR(VLOOKUP(P71,$A$2:$H$109,8,0),"")</x:f>
        <x:v>-19.280000000000001</x:v>
      </x:c>
      <x:c r="Q73" s="2" t="str">
        <x:f>IFERROR(VLOOKUP(Q71,$A$2:$H$109,8,0),"")</x:f>
        <x:v/>
      </x:c>
      <x:c r="R73" s="2" t="str">
        <x:f>IFERROR(VLOOKUP(R71,$A$2:$H$109,8,0),"")</x:f>
        <x:v/>
      </x:c>
      <x:c r="S73" s="17"/>
    </x:row>
    <x:row r="74" spans="1:19">
      <x:c r="A74" s="8" t="s">
        <x:v>36</x:v>
      </x:c>
      <x:c r="B74" s="2" t="s">
        <x:v>93</x:v>
      </x:c>
      <x:c r="C74" s="2" t="s">
        <x:v>15</x:v>
      </x:c>
      <x:c r="D74" s="2" t="s">
        <x:v>98</x:v>
      </x:c>
      <x:c r="E74" s="2"/>
      <x:c r="F74" s="2"/>
      <x:c r="G74" s="2"/>
      <x:c r="H74" s="17">
        <x:f>SUMPRODUCT(B75:G75,B76:G76)/SUM(B75:G75)</x:f>
        <x:v>-19.54716981132076</x:v>
      </x:c>
      <x:c r="M74" s="9" t="s">
        <x:v>68</x:v>
      </x:c>
      <x:c r="N74" s="2" t="s">
        <x:v>47</x:v>
      </x:c>
      <x:c r="O74" s="2" t="s">
        <x:v>50</x:v>
      </x:c>
      <x:c r="P74" s="2" t="s">
        <x:v>39</x:v>
      </x:c>
      <x:c r="Q74" s="2"/>
      <x:c r="R74" s="2"/>
      <x:c r="S74" s="17">
        <x:f>SUMPRODUCT(N75:R75,N76:R76)/SUM(N75:R75)</x:f>
        <x:v>-6.7913793103448263</x:v>
      </x:c>
    </x:row>
    <x:row r="75" spans="1:19">
      <x:c r="A75" s="8"/>
      <x:c r="B75" s="2">
        <x:v>0.80000000000000004</x:v>
      </x:c>
      <x:c r="C75" s="2">
        <x:v>0.84999999999999998</x:v>
      </x:c>
      <x:c r="D75" s="2">
        <x:v>1</x:v>
      </x:c>
      <x:c r="E75" s="2"/>
      <x:c r="F75" s="2"/>
      <x:c r="G75" s="2"/>
      <x:c r="H75" s="17"/>
      <x:c r="M75" s="8"/>
      <x:c r="N75" s="2">
        <x:v>1</x:v>
      </x:c>
      <x:c r="O75" s="2">
        <x:v>0.5</x:v>
      </x:c>
      <x:c r="P75" s="2">
        <x:v>0.5</x:v>
      </x:c>
      <x:c r="Q75" s="2"/>
      <x:c r="R75" s="2"/>
      <x:c r="S75" s="17"/>
    </x:row>
    <x:row r="76" spans="1:19">
      <x:c r="A76" s="8"/>
      <x:c r="B76" s="2">
        <x:f>IFERROR(VLOOKUP(B74,Sheet1!$A$1:$B$15,2,0),"")</x:f>
        <x:v>-73</x:v>
      </x:c>
      <x:c r="C76" s="2">
        <x:f>IFERROR(VLOOKUP(C74,Sheet1!$A$1:$B$15,2,0),"")</x:f>
        <x:v>-24</x:v>
      </x:c>
      <x:c r="D76" s="2">
        <x:f>IFERROR(VLOOKUP(D74,Sheet1!$A$1:$B$15,2,0),"")</x:f>
        <x:v>27</x:v>
      </x:c>
      <x:c r="E76" s="2" t="str">
        <x:f>IFERROR(VLOOKUP(E74,Sheet1!$A$1:$B$15,2,0),"")</x:f>
        <x:v/>
      </x:c>
      <x:c r="F76" s="2" t="str">
        <x:f>IFERROR(VLOOKUP(F74,Sheet1!$A$1:$B$15,2,0),"")</x:f>
        <x:v/>
      </x:c>
      <x:c r="G76" s="2" t="str">
        <x:f>IFERROR(VLOOKUP(G74,Sheet1!$A$1:$B$15,2,0),"")</x:f>
        <x:v/>
      </x:c>
      <x:c r="H76" s="17"/>
      <x:c r="M76" s="8"/>
      <x:c r="N76" s="2">
        <x:f>IFERROR(VLOOKUP(N74,$A$2:$H$109,8,0),"")</x:f>
        <x:v>-24.482758620689651</x:v>
      </x:c>
      <x:c r="O76" s="2">
        <x:f>IFERROR(VLOOKUP(O74,$A$2:$H$109,8,0),"")</x:f>
        <x:v>41.079999999999998</x:v>
      </x:c>
      <x:c r="P76" s="2">
        <x:f>IFERROR(VLOOKUP(P74,$A$2:$H$109,8,0),"")</x:f>
        <x:v>-19.280000000000001</x:v>
      </x:c>
      <x:c r="Q76" s="2" t="str">
        <x:f>IFERROR(VLOOKUP(Q74,$A$2:$H$109,8,0),"")</x:f>
        <x:v/>
      </x:c>
      <x:c r="R76" s="2" t="str">
        <x:f>IFERROR(VLOOKUP(R74,$A$2:$H$109,8,0),"")</x:f>
        <x:v/>
      </x:c>
      <x:c r="S76" s="17"/>
    </x:row>
    <x:row r="77" spans="1:19">
      <x:c r="A77" s="8" t="s">
        <x:v>16</x:v>
      </x:c>
      <x:c r="B77" s="2" t="s">
        <x:v>93</x:v>
      </x:c>
      <x:c r="C77" s="2" t="s">
        <x:v>15</x:v>
      </x:c>
      <x:c r="D77" s="2" t="s">
        <x:v>98</x:v>
      </x:c>
      <x:c r="E77" s="2"/>
      <x:c r="F77" s="2"/>
      <x:c r="G77" s="2"/>
      <x:c r="H77" s="17">
        <x:f>SUMPRODUCT(B78:G78,B79:G79)/SUM(B78:G78)</x:f>
        <x:v>-22.372549019607838</x:v>
      </x:c>
      <x:c r="M77" s="9" t="s">
        <x:v>55</x:v>
      </x:c>
      <x:c r="N77" s="2" t="s">
        <x:v>112</x:v>
      </x:c>
      <x:c r="O77" s="2" t="s">
        <x:v>50</x:v>
      </x:c>
      <x:c r="P77" s="2" t="s">
        <x:v>39</x:v>
      </x:c>
      <x:c r="Q77" s="2"/>
      <x:c r="R77" s="2"/>
      <x:c r="S77" s="17">
        <x:f>SUMPRODUCT(N78:R78,N79:R79)/SUM(N78:R78)</x:f>
        <x:v>-2.8833333333333329</x:v>
      </x:c>
    </x:row>
    <x:row r="78" spans="1:19">
      <x:c r="A78" s="8"/>
      <x:c r="B78" s="2">
        <x:v>0.80000000000000004</x:v>
      </x:c>
      <x:c r="C78" s="2">
        <x:v>0.90000000000000002</x:v>
      </x:c>
      <x:c r="D78" s="2">
        <x:v>0.84999999999999998</x:v>
      </x:c>
      <x:c r="E78" s="2"/>
      <x:c r="F78" s="2"/>
      <x:c r="G78" s="2"/>
      <x:c r="H78" s="17"/>
      <x:c r="M78" s="8"/>
      <x:c r="N78" s="2">
        <x:v>1</x:v>
      </x:c>
      <x:c r="O78" s="2">
        <x:v>0.5</x:v>
      </x:c>
      <x:c r="P78" s="2">
        <x:v>0.5</x:v>
      </x:c>
      <x:c r="Q78" s="2"/>
      <x:c r="R78" s="2"/>
      <x:c r="S78" s="17"/>
    </x:row>
    <x:row r="79" spans="1:19">
      <x:c r="A79" s="8"/>
      <x:c r="B79" s="2">
        <x:f>IFERROR(VLOOKUP(B77,Sheet1!$A$1:$B$15,2,0),"")</x:f>
        <x:v>-73</x:v>
      </x:c>
      <x:c r="C79" s="2">
        <x:f>IFERROR(VLOOKUP(C77,Sheet1!$A$1:$B$15,2,0),"")</x:f>
        <x:v>-24</x:v>
      </x:c>
      <x:c r="D79" s="2">
        <x:f>IFERROR(VLOOKUP(D77,Sheet1!$A$1:$B$15,2,0),"")</x:f>
        <x:v>27</x:v>
      </x:c>
      <x:c r="E79" s="2" t="str">
        <x:f>IFERROR(VLOOKUP(E77,Sheet1!$A$1:$B$15,2,0),"")</x:f>
        <x:v/>
      </x:c>
      <x:c r="F79" s="2" t="str">
        <x:f>IFERROR(VLOOKUP(F77,Sheet1!$A$1:$B$15,2,0),"")</x:f>
        <x:v/>
      </x:c>
      <x:c r="G79" s="2" t="str">
        <x:f>IFERROR(VLOOKUP(G77,Sheet1!$A$1:$B$15,2,0),"")</x:f>
        <x:v/>
      </x:c>
      <x:c r="H79" s="17"/>
      <x:c r="M79" s="8"/>
      <x:c r="N79" s="2">
        <x:f>IFERROR(VLOOKUP(N77,$A$2:$H$109,8,0),"")</x:f>
        <x:v>-16.666666666666664</x:v>
      </x:c>
      <x:c r="O79" s="2">
        <x:f>IFERROR(VLOOKUP(O77,$A$2:$H$109,8,0),"")</x:f>
        <x:v>41.079999999999998</x:v>
      </x:c>
      <x:c r="P79" s="2">
        <x:f>IFERROR(VLOOKUP(P77,$A$2:$H$109,8,0),"")</x:f>
        <x:v>-19.280000000000001</x:v>
      </x:c>
      <x:c r="Q79" s="2" t="str">
        <x:f>IFERROR(VLOOKUP(Q77,$A$2:$H$109,8,0),"")</x:f>
        <x:v/>
      </x:c>
      <x:c r="R79" s="2" t="str">
        <x:f>IFERROR(VLOOKUP(R77,$A$2:$H$109,8,0),"")</x:f>
        <x:v/>
      </x:c>
      <x:c r="S79" s="17"/>
    </x:row>
    <x:row r="80" spans="1:19">
      <x:c r="A80" s="8" t="s">
        <x:v>39</x:v>
      </x:c>
      <x:c r="B80" s="2" t="s">
        <x:v>93</x:v>
      </x:c>
      <x:c r="C80" s="2" t="s">
        <x:v>15</x:v>
      </x:c>
      <x:c r="D80" s="2" t="s">
        <x:v>98</x:v>
      </x:c>
      <x:c r="E80" s="2"/>
      <x:c r="F80" s="2"/>
      <x:c r="G80" s="2"/>
      <x:c r="H80" s="17">
        <x:f>SUMPRODUCT(B81:G81,B82:G82)/SUM(B81:G81)</x:f>
        <x:v>-19.280000000000001</x:v>
      </x:c>
      <x:c r="M80" s="9" t="s">
        <x:v>78</x:v>
      </x:c>
      <x:c r="N80" s="2" t="s">
        <x:v>8</x:v>
      </x:c>
      <x:c r="O80" s="2" t="s">
        <x:v>50</x:v>
      </x:c>
      <x:c r="P80" s="2" t="s">
        <x:v>39</x:v>
      </x:c>
      <x:c r="Q80" s="2"/>
      <x:c r="R80" s="2"/>
      <x:c r="S80" s="17">
        <x:f>SUMPRODUCT(N81:R81,N82:R82)/SUM(N81:R81)</x:f>
        <x:v>-6.7166666666666686</x:v>
      </x:c>
    </x:row>
    <x:row r="81" spans="1:19">
      <x:c r="A81" s="8"/>
      <x:c r="B81" s="2">
        <x:v>0.80000000000000004</x:v>
      </x:c>
      <x:c r="C81" s="2">
        <x:v>0.69999999999999996</x:v>
      </x:c>
      <x:c r="D81" s="2">
        <x:v>1</x:v>
      </x:c>
      <x:c r="E81" s="2"/>
      <x:c r="F81" s="2"/>
      <x:c r="G81" s="2"/>
      <x:c r="H81" s="17"/>
      <x:c r="M81" s="8"/>
      <x:c r="N81" s="2">
        <x:v>1</x:v>
      </x:c>
      <x:c r="O81" s="2">
        <x:v>0.5</x:v>
      </x:c>
      <x:c r="P81" s="2">
        <x:v>0.5</x:v>
      </x:c>
      <x:c r="Q81" s="2"/>
      <x:c r="R81" s="2"/>
      <x:c r="S81" s="17"/>
    </x:row>
    <x:row r="82" spans="1:19">
      <x:c r="A82" s="8"/>
      <x:c r="B82" s="2">
        <x:f>IFERROR(VLOOKUP(B80,Sheet1!$A$1:$B$15,2,0),"")</x:f>
        <x:v>-73</x:v>
      </x:c>
      <x:c r="C82" s="2">
        <x:f>IFERROR(VLOOKUP(C80,Sheet1!$A$1:$B$15,2,0),"")</x:f>
        <x:v>-24</x:v>
      </x:c>
      <x:c r="D82" s="2">
        <x:f>IFERROR(VLOOKUP(D80,Sheet1!$A$1:$B$15,2,0),"")</x:f>
        <x:v>27</x:v>
      </x:c>
      <x:c r="E82" s="2" t="str">
        <x:f>IFERROR(VLOOKUP(E80,Sheet1!$A$1:$B$15,2,0),"")</x:f>
        <x:v/>
      </x:c>
      <x:c r="F82" s="2" t="str">
        <x:f>IFERROR(VLOOKUP(F80,Sheet1!$A$1:$B$15,2,0),"")</x:f>
        <x:v/>
      </x:c>
      <x:c r="G82" s="2" t="str">
        <x:f>IFERROR(VLOOKUP(G80,Sheet1!$A$1:$B$15,2,0),"")</x:f>
        <x:v/>
      </x:c>
      <x:c r="H82" s="17"/>
      <x:c r="M82" s="8"/>
      <x:c r="N82" s="2">
        <x:f>IFERROR(VLOOKUP(N80,$A$2:$H$109,8,0),"")</x:f>
        <x:v>-24.333333333333336</x:v>
      </x:c>
      <x:c r="O82" s="2">
        <x:f>IFERROR(VLOOKUP(O80,$A$2:$H$109,8,0),"")</x:f>
        <x:v>41.079999999999998</x:v>
      </x:c>
      <x:c r="P82" s="2">
        <x:f>IFERROR(VLOOKUP(P80,$A$2:$H$109,8,0),"")</x:f>
        <x:v>-19.280000000000001</x:v>
      </x:c>
      <x:c r="Q82" s="2" t="str">
        <x:f>IFERROR(VLOOKUP(Q80,$A$2:$H$109,8,0),"")</x:f>
        <x:v/>
      </x:c>
      <x:c r="R82" s="2" t="str">
        <x:f>IFERROR(VLOOKUP(R80,$A$2:$H$109,8,0),"")</x:f>
        <x:v/>
      </x:c>
      <x:c r="S82" s="17"/>
    </x:row>
    <x:row r="83" spans="1:19">
      <x:c r="A83" s="8" t="s">
        <x:v>50</x:v>
      </x:c>
      <x:c r="B83" s="2" t="s">
        <x:v>93</x:v>
      </x:c>
      <x:c r="C83" s="2" t="s">
        <x:v>15</x:v>
      </x:c>
      <x:c r="D83" s="2" t="s">
        <x:v>50</x:v>
      </x:c>
      <x:c r="E83" s="2" t="s">
        <x:v>6</x:v>
      </x:c>
      <x:c r="F83" s="2"/>
      <x:c r="G83" s="2"/>
      <x:c r="H83" s="17">
        <x:f>SUMPRODUCT(B84:G84,B85:G85)/SUM(B84:G84)</x:f>
        <x:v>41.079999999999998</x:v>
      </x:c>
      <x:c r="M83" s="9" t="s">
        <x:v>71</x:v>
      </x:c>
      <x:c r="N83" s="2" t="s">
        <x:v>16</x:v>
      </x:c>
      <x:c r="O83" s="2" t="s">
        <x:v>50</x:v>
      </x:c>
      <x:c r="P83" s="2" t="s">
        <x:v>39</x:v>
      </x:c>
      <x:c r="Q83" s="2"/>
      <x:c r="R83" s="2"/>
      <x:c r="S83" s="17">
        <x:f>SUMPRODUCT(N84:R84,N85:R85)/SUM(N84:R84)</x:f>
        <x:v>-5.7362745098039198</x:v>
      </x:c>
    </x:row>
    <x:row r="84" spans="1:19">
      <x:c r="A84" s="8"/>
      <x:c r="B84" s="2">
        <x:v>0.5</x:v>
      </x:c>
      <x:c r="C84" s="2">
        <x:v>0.80000000000000004</x:v>
      </x:c>
      <x:c r="D84" s="2">
        <x:v>1</x:v>
      </x:c>
      <x:c r="E84" s="2">
        <x:v>0.20000000000000001</x:v>
      </x:c>
      <x:c r="F84" s="2"/>
      <x:c r="G84" s="2"/>
      <x:c r="H84" s="17"/>
      <x:c r="M84" s="8"/>
      <x:c r="N84" s="2">
        <x:v>1</x:v>
      </x:c>
      <x:c r="O84" s="2">
        <x:v>0.5</x:v>
      </x:c>
      <x:c r="P84" s="2">
        <x:v>0.5</x:v>
      </x:c>
      <x:c r="Q84" s="2"/>
      <x:c r="R84" s="2"/>
      <x:c r="S84" s="17"/>
    </x:row>
    <x:row r="85" spans="1:19">
      <x:c r="A85" s="8"/>
      <x:c r="B85" s="2">
        <x:f>IFERROR(VLOOKUP(B83,Sheet1!$A$1:$B$15,2,0),"")</x:f>
        <x:v>-73</x:v>
      </x:c>
      <x:c r="C85" s="2">
        <x:f>IFERROR(VLOOKUP(C83,Sheet1!$A$1:$B$15,2,0),"")</x:f>
        <x:v>-24</x:v>
      </x:c>
      <x:c r="D85" s="2">
        <x:f>IFERROR(VLOOKUP(D83,Sheet1!$A$1:$B$15,2,0),"")</x:f>
        <x:v>156</x:v>
      </x:c>
      <x:c r="E85" s="2">
        <x:f>IFERROR(VLOOKUP(E83,Sheet1!$A$1:$B$15,2,0),"")</x:f>
        <x:v>12</x:v>
      </x:c>
      <x:c r="F85" s="2" t="str">
        <x:f>IFERROR(VLOOKUP(F83,Sheet1!$A$1:$B$15,2,0),"")</x:f>
        <x:v/>
      </x:c>
      <x:c r="G85" s="2" t="str">
        <x:f>IFERROR(VLOOKUP(G83,Sheet1!$A$1:$B$15,2,0),"")</x:f>
        <x:v/>
      </x:c>
      <x:c r="H85" s="17"/>
      <x:c r="M85" s="8"/>
      <x:c r="N85" s="2">
        <x:f>IFERROR(VLOOKUP(N83,$A$2:$H$109,8,0),"")</x:f>
        <x:v>-22.372549019607838</x:v>
      </x:c>
      <x:c r="O85" s="2">
        <x:f>IFERROR(VLOOKUP(O83,$A$2:$H$109,8,0),"")</x:f>
        <x:v>41.079999999999998</x:v>
      </x:c>
      <x:c r="P85" s="2">
        <x:f>IFERROR(VLOOKUP(P83,$A$2:$H$109,8,0),"")</x:f>
        <x:v>-19.280000000000001</x:v>
      </x:c>
      <x:c r="Q85" s="2" t="str">
        <x:f>IFERROR(VLOOKUP(Q83,$A$2:$H$109,8,0),"")</x:f>
        <x:v/>
      </x:c>
      <x:c r="R85" s="2" t="str">
        <x:f>IFERROR(VLOOKUP(R83,$A$2:$H$109,8,0),"")</x:f>
        <x:v/>
      </x:c>
      <x:c r="S85" s="17"/>
    </x:row>
    <x:row r="86" spans="1:19">
      <x:c r="A86" s="8" t="s">
        <x:v>18</x:v>
      </x:c>
      <x:c r="B86" s="2" t="s">
        <x:v>93</x:v>
      </x:c>
      <x:c r="C86" s="2" t="s">
        <x:v>15</x:v>
      </x:c>
      <x:c r="D86" s="2" t="s">
        <x:v>98</x:v>
      </x:c>
      <x:c r="E86" s="2"/>
      <x:c r="F86" s="2"/>
      <x:c r="G86" s="2"/>
      <x:c r="H86" s="17">
        <x:f>SUMPRODUCT(B87:G87,B88:G88)/SUM(B87:G87)</x:f>
        <x:v>-13.4</x:v>
      </x:c>
      <x:c r="M86" s="9" t="s">
        <x:v>82</x:v>
      </x:c>
      <x:c r="N86" s="2" t="s">
        <x:v>42</x:v>
      </x:c>
      <x:c r="O86" s="2" t="s">
        <x:v>50</x:v>
      </x:c>
      <x:c r="P86" s="2" t="s">
        <x:v>39</x:v>
      </x:c>
      <x:c r="Q86" s="2"/>
      <x:c r="R86" s="2"/>
      <x:c r="S86" s="17">
        <x:f>SUMPRODUCT(N87:R87,N88:R88)/SUM(N87:R87)</x:f>
        <x:v>23.571212121212124</x:v>
      </x:c>
    </x:row>
    <x:row r="87" spans="1:19">
      <x:c r="A87" s="8"/>
      <x:c r="B87" s="2">
        <x:v>0.5</x:v>
      </x:c>
      <x:c r="C87" s="2">
        <x:v>1</x:v>
      </x:c>
      <x:c r="D87" s="2">
        <x:v>1</x:v>
      </x:c>
      <x:c r="E87" s="2"/>
      <x:c r="F87" s="2"/>
      <x:c r="G87" s="2"/>
      <x:c r="H87" s="17"/>
      <x:c r="M87" s="8"/>
      <x:c r="N87" s="2">
        <x:v>1</x:v>
      </x:c>
      <x:c r="O87" s="2">
        <x:v>0.5</x:v>
      </x:c>
      <x:c r="P87" s="2">
        <x:v>0.5</x:v>
      </x:c>
      <x:c r="Q87" s="2"/>
      <x:c r="R87" s="2"/>
      <x:c r="S87" s="17"/>
    </x:row>
    <x:row r="88" spans="1:19">
      <x:c r="A88" s="8"/>
      <x:c r="B88" s="2">
        <x:f>IFERROR(VLOOKUP(B86,Sheet1!$A$1:$B$15,2,0),"")</x:f>
        <x:v>-73</x:v>
      </x:c>
      <x:c r="C88" s="2">
        <x:f>IFERROR(VLOOKUP(C86,Sheet1!$A$1:$B$15,2,0),"")</x:f>
        <x:v>-24</x:v>
      </x:c>
      <x:c r="D88" s="2">
        <x:f>IFERROR(VLOOKUP(D86,Sheet1!$A$1:$B$15,2,0),"")</x:f>
        <x:v>27</x:v>
      </x:c>
      <x:c r="E88" s="2" t="str">
        <x:f>IFERROR(VLOOKUP(E86,Sheet1!$A$1:$B$15,2,0),"")</x:f>
        <x:v/>
      </x:c>
      <x:c r="F88" s="2" t="str">
        <x:f>IFERROR(VLOOKUP(F86,Sheet1!$A$1:$B$15,2,0),"")</x:f>
        <x:v/>
      </x:c>
      <x:c r="G88" s="2" t="str">
        <x:f>IFERROR(VLOOKUP(G86,Sheet1!$A$1:$B$15,2,0),"")</x:f>
        <x:v/>
      </x:c>
      <x:c r="H88" s="17"/>
      <x:c r="M88" s="8"/>
      <x:c r="N88" s="2">
        <x:f>IFERROR(VLOOKUP(N86,$A$2:$H$109,8,0),"")</x:f>
        <x:v>36.242424242424249</x:v>
      </x:c>
      <x:c r="O88" s="2">
        <x:f>IFERROR(VLOOKUP(O86,$A$2:$H$109,8,0),"")</x:f>
        <x:v>41.079999999999998</x:v>
      </x:c>
      <x:c r="P88" s="2">
        <x:f>IFERROR(VLOOKUP(P86,$A$2:$H$109,8,0),"")</x:f>
        <x:v>-19.280000000000001</x:v>
      </x:c>
      <x:c r="Q88" s="2" t="str">
        <x:f>IFERROR(VLOOKUP(Q86,$A$2:$H$109,8,0),"")</x:f>
        <x:v/>
      </x:c>
      <x:c r="R88" s="2" t="str">
        <x:f>IFERROR(VLOOKUP(R86,$A$2:$H$109,8,0),"")</x:f>
        <x:v/>
      </x:c>
      <x:c r="S88" s="17"/>
    </x:row>
    <x:row r="89" spans="1:19">
      <x:c r="A89" s="8" t="s">
        <x:v>30</x:v>
      </x:c>
      <x:c r="B89" s="2" t="s">
        <x:v>93</x:v>
      </x:c>
      <x:c r="C89" s="2" t="s">
        <x:v>102</x:v>
      </x:c>
      <x:c r="D89" s="2" t="s">
        <x:v>104</x:v>
      </x:c>
      <x:c r="E89" s="2" t="s">
        <x:v>110</x:v>
      </x:c>
      <x:c r="F89" s="2"/>
      <x:c r="G89" s="2"/>
      <x:c r="H89" s="17">
        <x:f>SUMPRODUCT(B90:G90,B91:G91)/SUM(B90:G90)</x:f>
        <x:v>31.525423728813561</x:v>
      </x:c>
      <x:c r="M89" s="9" t="s">
        <x:v>91</x:v>
      </x:c>
      <x:c r="N89" s="2" t="s">
        <x:v>41</x:v>
      </x:c>
      <x:c r="O89" s="2" t="s">
        <x:v>50</x:v>
      </x:c>
      <x:c r="P89" s="2" t="s">
        <x:v>39</x:v>
      </x:c>
      <x:c r="Q89" s="2"/>
      <x:c r="R89" s="2"/>
      <x:c r="S89" s="17">
        <x:f>SUMPRODUCT(N90:R90,N91:R91)/SUM(N90:R90)</x:f>
        <x:v>21.838888888888889</x:v>
      </x:c>
    </x:row>
    <x:row r="90" spans="1:19">
      <x:c r="A90" s="8"/>
      <x:c r="B90" s="2">
        <x:v>0.40000000000000002</x:v>
      </x:c>
      <x:c r="C90" s="2">
        <x:v>0.90000000000000002</x:v>
      </x:c>
      <x:c r="D90" s="2">
        <x:v>0.80000000000000004</x:v>
      </x:c>
      <x:c r="E90" s="2">
        <x:v>0.84999999999999998</x:v>
      </x:c>
      <x:c r="F90" s="2"/>
      <x:c r="G90" s="2"/>
      <x:c r="H90" s="17"/>
      <x:c r="M90" s="8"/>
      <x:c r="N90" s="2">
        <x:v>1</x:v>
      </x:c>
      <x:c r="O90" s="2">
        <x:v>0.5</x:v>
      </x:c>
      <x:c r="P90" s="2">
        <x:v>0.5</x:v>
      </x:c>
      <x:c r="Q90" s="2"/>
      <x:c r="R90" s="2"/>
      <x:c r="S90" s="17"/>
    </x:row>
    <x:row r="91" spans="1:19">
      <x:c r="A91" s="8"/>
      <x:c r="B91" s="2">
        <x:f>IFERROR(VLOOKUP(B89,Sheet1!$A$1:$B$15,2,0),"")</x:f>
        <x:v>-73</x:v>
      </x:c>
      <x:c r="C91" s="2">
        <x:f>IFERROR(VLOOKUP(C89,Sheet1!$A$1:$B$15,2,0),"")</x:f>
        <x:v>26</x:v>
      </x:c>
      <x:c r="D91" s="2">
        <x:f>IFERROR(VLOOKUP(D89,Sheet1!$A$1:$B$15,2,0),"")</x:f>
        <x:v>166</x:v>
      </x:c>
      <x:c r="E91" s="2">
        <x:f>IFERROR(VLOOKUP(E89,Sheet1!$A$1:$B$15,2,0),"")</x:f>
        <x:v>-40</x:v>
      </x:c>
      <x:c r="F91" s="2" t="str">
        <x:f>IFERROR(VLOOKUP(F89,Sheet1!$A$1:$B$15,2,0),"")</x:f>
        <x:v/>
      </x:c>
      <x:c r="G91" s="2" t="str">
        <x:f>IFERROR(VLOOKUP(G89,Sheet1!$A$1:$B$15,2,0),"")</x:f>
        <x:v/>
      </x:c>
      <x:c r="H91" s="17"/>
      <x:c r="M91" s="8"/>
      <x:c r="N91" s="2">
        <x:f>IFERROR(VLOOKUP(N89,$A$2:$H$109,8,0),"")</x:f>
        <x:v>32.777777777777779</x:v>
      </x:c>
      <x:c r="O91" s="2">
        <x:f>IFERROR(VLOOKUP(O89,$A$2:$H$109,8,0),"")</x:f>
        <x:v>41.079999999999998</x:v>
      </x:c>
      <x:c r="P91" s="2">
        <x:f>IFERROR(VLOOKUP(P89,$A$2:$H$109,8,0),"")</x:f>
        <x:v>-19.280000000000001</x:v>
      </x:c>
      <x:c r="Q91" s="2" t="str">
        <x:f>IFERROR(VLOOKUP(Q89,$A$2:$H$109,8,0),"")</x:f>
        <x:v/>
      </x:c>
      <x:c r="R91" s="2" t="str">
        <x:f>IFERROR(VLOOKUP(R89,$A$2:$H$109,8,0),"")</x:f>
        <x:v/>
      </x:c>
      <x:c r="S91" s="17"/>
    </x:row>
    <x:row r="92" spans="1:19">
      <x:c r="A92" s="8" t="s">
        <x:v>45</x:v>
      </x:c>
      <x:c r="B92" s="2" t="s">
        <x:v>102</x:v>
      </x:c>
      <x:c r="C92" s="2" t="s">
        <x:v>103</x:v>
      </x:c>
      <x:c r="D92" s="2" t="s">
        <x:v>104</x:v>
      </x:c>
      <x:c r="E92" s="2" t="s">
        <x:v>110</x:v>
      </x:c>
      <x:c r="F92" s="2"/>
      <x:c r="G92" s="2"/>
      <x:c r="H92" s="17">
        <x:f>SUMPRODUCT(B93:G93,B94:G94)/SUM(B93:G93)</x:f>
        <x:v>58.965517241379324</x:v>
      </x:c>
      <x:c r="M92" s="9" t="s">
        <x:v>66</x:v>
      </x:c>
      <x:c r="N92" s="2" t="s">
        <x:v>33</x:v>
      </x:c>
      <x:c r="O92" s="2" t="s">
        <x:v>50</x:v>
      </x:c>
      <x:c r="P92" s="2" t="s">
        <x:v>39</x:v>
      </x:c>
      <x:c r="Q92" s="2"/>
      <x:c r="R92" s="2"/>
      <x:c r="S92" s="17">
        <x:f>SUMPRODUCT(N93:R93,N94:R94)/SUM(N93:R93)</x:f>
        <x:v>30.754347826086956</x:v>
      </x:c>
    </x:row>
    <x:row r="93" spans="1:19">
      <x:c r="A93" s="8"/>
      <x:c r="B93" s="2">
        <x:v>0.5</x:v>
      </x:c>
      <x:c r="C93" s="2">
        <x:v>0.90000000000000002</x:v>
      </x:c>
      <x:c r="D93" s="2">
        <x:v>0.69999999999999996</x:v>
      </x:c>
      <x:c r="E93" s="2">
        <x:v>0.80000000000000004</x:v>
      </x:c>
      <x:c r="F93" s="2"/>
      <x:c r="G93" s="2"/>
      <x:c r="H93" s="17"/>
      <x:c r="M93" s="8"/>
      <x:c r="N93" s="2">
        <x:v>1</x:v>
      </x:c>
      <x:c r="O93" s="2">
        <x:v>0.5</x:v>
      </x:c>
      <x:c r="P93" s="2">
        <x:v>0.5</x:v>
      </x:c>
      <x:c r="Q93" s="2"/>
      <x:c r="R93" s="2"/>
      <x:c r="S93" s="17"/>
    </x:row>
    <x:row r="94" spans="1:19">
      <x:c r="A94" s="8"/>
      <x:c r="B94" s="2">
        <x:f>IFERROR(VLOOKUP(B92,Sheet1!$A$1:$B$15,2,0),"")</x:f>
        <x:v>26</x:v>
      </x:c>
      <x:c r="C94" s="2">
        <x:f>IFERROR(VLOOKUP(C92,Sheet1!$A$1:$B$15,2,0),"")</x:f>
        <x:v>82</x:v>
      </x:c>
      <x:c r="D94" s="2">
        <x:f>IFERROR(VLOOKUP(D92,Sheet1!$A$1:$B$15,2,0),"")</x:f>
        <x:v>166</x:v>
      </x:c>
      <x:c r="E94" s="2">
        <x:f>IFERROR(VLOOKUP(E92,Sheet1!$A$1:$B$15,2,0),"")</x:f>
        <x:v>-40</x:v>
      </x:c>
      <x:c r="F94" s="2" t="str">
        <x:f>IFERROR(VLOOKUP(F92,Sheet1!$A$1:$B$15,2,0),"")</x:f>
        <x:v/>
      </x:c>
      <x:c r="G94" s="2" t="str">
        <x:f>IFERROR(VLOOKUP(G92,Sheet1!$A$1:$B$15,2,0),"")</x:f>
        <x:v/>
      </x:c>
      <x:c r="H94" s="17"/>
      <x:c r="M94" s="8"/>
      <x:c r="N94" s="2">
        <x:f>IFERROR(VLOOKUP(N92,$A$2:$H$109,8,0),"")</x:f>
        <x:v>50.608695652173914</x:v>
      </x:c>
      <x:c r="O94" s="2">
        <x:f>IFERROR(VLOOKUP(O92,$A$2:$H$109,8,0),"")</x:f>
        <x:v>41.079999999999998</x:v>
      </x:c>
      <x:c r="P94" s="2">
        <x:f>IFERROR(VLOOKUP(P92,$A$2:$H$109,8,0),"")</x:f>
        <x:v>-19.280000000000001</x:v>
      </x:c>
      <x:c r="Q94" s="2" t="str">
        <x:f>IFERROR(VLOOKUP(Q92,$A$2:$H$109,8,0),"")</x:f>
        <x:v/>
      </x:c>
      <x:c r="R94" s="2" t="str">
        <x:f>IFERROR(VLOOKUP(R92,$A$2:$H$109,8,0),"")</x:f>
        <x:v/>
      </x:c>
      <x:c r="S94" s="17"/>
    </x:row>
    <x:row r="95" spans="1:19">
      <x:c r="A95" s="8" t="s">
        <x:v>33</x:v>
      </x:c>
      <x:c r="B95" s="2" t="s">
        <x:v>102</x:v>
      </x:c>
      <x:c r="C95" s="2" t="s">
        <x:v>103</x:v>
      </x:c>
      <x:c r="D95" s="2" t="s">
        <x:v>104</x:v>
      </x:c>
      <x:c r="E95" s="2" t="s">
        <x:v>108</x:v>
      </x:c>
      <x:c r="F95" s="2" t="s">
        <x:v>110</x:v>
      </x:c>
      <x:c r="G95" s="2"/>
      <x:c r="H95" s="17">
        <x:f>SUMPRODUCT(B96:G96,B97:G97)/SUM(B96:G96)</x:f>
        <x:v>50.608695652173914</x:v>
      </x:c>
      <x:c r="M95" s="9" t="s">
        <x:v>88</x:v>
      </x:c>
      <x:c r="N95" s="2" t="s">
        <x:v>43</x:v>
      </x:c>
      <x:c r="O95" s="2" t="s">
        <x:v>50</x:v>
      </x:c>
      <x:c r="P95" s="2" t="s">
        <x:v>39</x:v>
      </x:c>
      <x:c r="Q95" s="2"/>
      <x:c r="R95" s="2"/>
      <x:c r="S95" s="17">
        <x:f>SUMPRODUCT(N96:R96,N97:R97)/SUM(N96:R96)</x:f>
        <x:v>16.662328767123284</x:v>
      </x:c>
    </x:row>
    <x:row r="96" spans="1:19">
      <x:c r="A96" s="8"/>
      <x:c r="B96" s="2">
        <x:v>0.40000000000000002</x:v>
      </x:c>
      <x:c r="C96" s="2">
        <x:v>0.80000000000000004</x:v>
      </x:c>
      <x:c r="D96" s="2">
        <x:v>0.84999999999999998</x:v>
      </x:c>
      <x:c r="E96" s="2">
        <x:v>0.5</x:v>
      </x:c>
      <x:c r="F96" s="2">
        <x:v>0.90000000000000002</x:v>
      </x:c>
      <x:c r="G96" s="2"/>
      <x:c r="H96" s="17"/>
      <x:c r="M96" s="8"/>
      <x:c r="N96" s="2">
        <x:v>1</x:v>
      </x:c>
      <x:c r="O96" s="2">
        <x:v>0.5</x:v>
      </x:c>
      <x:c r="P96" s="2">
        <x:v>0.5</x:v>
      </x:c>
      <x:c r="Q96" s="2"/>
      <x:c r="R96" s="2"/>
      <x:c r="S96" s="17"/>
    </x:row>
    <x:row r="97" spans="1:19">
      <x:c r="A97" s="8"/>
      <x:c r="B97" s="2">
        <x:f>IFERROR(VLOOKUP(B95,Sheet1!$A$1:$B$15,2,0),"")</x:f>
        <x:v>26</x:v>
      </x:c>
      <x:c r="C97" s="2">
        <x:f>IFERROR(VLOOKUP(C95,Sheet1!$A$1:$B$15,2,0),"")</x:f>
        <x:v>82</x:v>
      </x:c>
      <x:c r="D97" s="2">
        <x:f>IFERROR(VLOOKUP(D95,Sheet1!$A$1:$B$15,2,0),"")</x:f>
        <x:v>166</x:v>
      </x:c>
      <x:c r="E97" s="2">
        <x:f>IFERROR(VLOOKUP(E95,Sheet1!$A$1:$B$15,2,0),"")</x:f>
        <x:v>-13</x:v>
      </x:c>
      <x:c r="F97" s="2">
        <x:f>IFERROR(VLOOKUP(F95,Sheet1!$A$1:$B$15,2,0),"")</x:f>
        <x:v>-40</x:v>
      </x:c>
      <x:c r="G97" s="2" t="str">
        <x:f>IFERROR(VLOOKUP(G95,Sheet1!$A$1:$B$15,2,0),"")</x:f>
        <x:v/>
      </x:c>
      <x:c r="H97" s="17"/>
      <x:c r="M97" s="8"/>
      <x:c r="N97" s="2">
        <x:f>IFERROR(VLOOKUP(N95,$A$2:$H$109,8,0),"")</x:f>
        <x:v>22.424657534246574</x:v>
      </x:c>
      <x:c r="O97" s="2">
        <x:f>IFERROR(VLOOKUP(O95,$A$2:$H$109,8,0),"")</x:f>
        <x:v>41.079999999999998</x:v>
      </x:c>
      <x:c r="P97" s="2">
        <x:f>IFERROR(VLOOKUP(P95,$A$2:$H$109,8,0),"")</x:f>
        <x:v>-19.280000000000001</x:v>
      </x:c>
      <x:c r="Q97" s="2" t="str">
        <x:f>IFERROR(VLOOKUP(Q95,$A$2:$H$109,8,0),"")</x:f>
        <x:v/>
      </x:c>
      <x:c r="R97" s="2" t="str">
        <x:f>IFERROR(VLOOKUP(R95,$A$2:$H$109,8,0),"")</x:f>
        <x:v/>
      </x:c>
      <x:c r="S97" s="17"/>
    </x:row>
    <x:row r="98" spans="1:19">
      <x:c r="A98" s="8" t="s">
        <x:v>6</x:v>
      </x:c>
      <x:c r="B98" s="2" t="s">
        <x:v>99</x:v>
      </x:c>
      <x:c r="C98" s="2" t="s">
        <x:v>50</x:v>
      </x:c>
      <x:c r="D98" s="2" t="s">
        <x:v>6</x:v>
      </x:c>
      <x:c r="E98" s="2" t="s">
        <x:v>114</x:v>
      </x:c>
      <x:c r="F98" s="2"/>
      <x:c r="G98" s="2"/>
      <x:c r="H98" s="17">
        <x:f>SUMPRODUCT(B99:G99,B100:G100)/SUM(B99:G99)</x:f>
        <x:v>59.913043478260867</x:v>
      </x:c>
      <x:c r="M98" s="9" t="s">
        <x:v>86</x:v>
      </x:c>
      <x:c r="N98" s="2" t="s">
        <x:v>111</x:v>
      </x:c>
      <x:c r="O98" s="2" t="s">
        <x:v>50</x:v>
      </x:c>
      <x:c r="P98" s="2" t="s">
        <x:v>39</x:v>
      </x:c>
      <x:c r="Q98" s="2"/>
      <x:c r="R98" s="2"/>
      <x:c r="S98" s="17">
        <x:f>SUMPRODUCT(N99:R99,N100:R100)/SUM(N99:R99)</x:f>
        <x:v>25.116666666666664</x:v>
      </x:c>
    </x:row>
    <x:row r="99" spans="1:19">
      <x:c r="A99" s="8"/>
      <x:c r="B99" s="2">
        <x:v>0.20000000000000001</x:v>
      </x:c>
      <x:c r="C99" s="2">
        <x:v>0.5</x:v>
      </x:c>
      <x:c r="D99" s="2">
        <x:v>0.90000000000000002</x:v>
      </x:c>
      <x:c r="E99" s="2">
        <x:v>0.69999999999999996</x:v>
      </x:c>
      <x:c r="F99" s="2"/>
      <x:c r="G99" s="2"/>
      <x:c r="H99" s="17"/>
      <x:c r="M99" s="8"/>
      <x:c r="N99" s="2">
        <x:v>1</x:v>
      </x:c>
      <x:c r="O99" s="2">
        <x:v>0.5</x:v>
      </x:c>
      <x:c r="P99" s="2">
        <x:v>0.5</x:v>
      </x:c>
      <x:c r="Q99" s="2"/>
      <x:c r="R99" s="2"/>
      <x:c r="S99" s="17"/>
    </x:row>
    <x:row r="100" spans="1:19">
      <x:c r="A100" s="8"/>
      <x:c r="B100" s="2">
        <x:f>IFERROR(VLOOKUP(B98,Sheet1!$A$1:$B$15,2,0),"")</x:f>
        <x:v>154</x:v>
      </x:c>
      <x:c r="C100" s="2">
        <x:f>IFERROR(VLOOKUP(C98,Sheet1!$A$1:$B$15,2,0),"")</x:f>
        <x:v>156</x:v>
      </x:c>
      <x:c r="D100" s="2">
        <x:f>IFERROR(VLOOKUP(D98,Sheet1!$A$1:$B$15,2,0),"")</x:f>
        <x:v>12</x:v>
      </x:c>
      <x:c r="E100" s="2">
        <x:f>IFERROR(VLOOKUP(E98,Sheet1!$A$1:$B$15,2,0),"")</x:f>
        <x:v>26</x:v>
      </x:c>
      <x:c r="F100" s="2" t="str">
        <x:f>IFERROR(VLOOKUP(F98,Sheet1!$A$1:$B$15,2,0),"")</x:f>
        <x:v/>
      </x:c>
      <x:c r="G100" s="2" t="str">
        <x:f>IFERROR(VLOOKUP(G98,Sheet1!$A$1:$B$15,2,0),"")</x:f>
        <x:v/>
      </x:c>
      <x:c r="H100" s="17"/>
      <x:c r="M100" s="8"/>
      <x:c r="N100" s="2">
        <x:f>IFERROR(VLOOKUP(N98,$A$2:$H$109,8,0),"")</x:f>
        <x:v>39.333333333333329</x:v>
      </x:c>
      <x:c r="O100" s="2">
        <x:f>IFERROR(VLOOKUP(O98,$A$2:$H$109,8,0),"")</x:f>
        <x:v>41.079999999999998</x:v>
      </x:c>
      <x:c r="P100" s="2">
        <x:f>IFERROR(VLOOKUP(P98,$A$2:$H$109,8,0),"")</x:f>
        <x:v>-19.280000000000001</x:v>
      </x:c>
      <x:c r="Q100" s="2" t="str">
        <x:f>IFERROR(VLOOKUP(Q98,$A$2:$H$109,8,0),"")</x:f>
        <x:v/>
      </x:c>
      <x:c r="R100" s="2" t="str">
        <x:f>IFERROR(VLOOKUP(R98,$A$2:$H$109,8,0),"")</x:f>
        <x:v/>
      </x:c>
      <x:c r="S100" s="17"/>
    </x:row>
    <x:row r="101" spans="1:19" ht="32.75">
      <x:c r="A101" s="8" t="s">
        <x:v>114</x:v>
      </x:c>
      <x:c r="B101" s="5" t="s">
        <x:v>50</x:v>
      </x:c>
      <x:c r="C101" s="2" t="s">
        <x:v>98</x:v>
      </x:c>
      <x:c r="D101" s="2" t="s">
        <x:v>6</x:v>
      </x:c>
      <x:c r="E101" s="2" t="s">
        <x:v>114</x:v>
      </x:c>
      <x:c r="F101" s="2"/>
      <x:c r="G101" s="2"/>
      <x:c r="H101" s="17">
        <x:f>SUMPRODUCT(B102:G102,B103:G103)/SUM(B102:G102)</x:f>
        <x:v>45.914893617021278</x:v>
      </x:c>
      <x:c r="M101" s="9" t="s">
        <x:v>72</x:v>
      </x:c>
      <x:c r="N101" s="2" t="s">
        <x:v>115</x:v>
      </x:c>
      <x:c r="O101" s="2" t="s">
        <x:v>50</x:v>
      </x:c>
      <x:c r="P101" s="2" t="s">
        <x:v>39</x:v>
      </x:c>
      <x:c r="Q101" s="2"/>
      <x:c r="R101" s="2"/>
      <x:c r="S101" s="17">
        <x:f>SUMPRODUCT(N102:R102,N103:R103)/SUM(N102:R102)</x:f>
        <x:v>23.619014084507043</x:v>
      </x:c>
    </x:row>
    <x:row r="102" spans="1:19">
      <x:c r="A102" s="8"/>
      <x:c r="B102" s="2">
        <x:v>0.45000000000000001</x:v>
      </x:c>
      <x:c r="C102" s="2">
        <x:v>0.20000000000000001</x:v>
      </x:c>
      <x:c r="D102" s="2">
        <x:v>0.84999999999999998</x:v>
      </x:c>
      <x:c r="E102" s="2">
        <x:v>0.84999999999999998</x:v>
      </x:c>
      <x:c r="F102" s="2"/>
      <x:c r="G102" s="2"/>
      <x:c r="H102" s="17"/>
      <x:c r="M102" s="8"/>
      <x:c r="N102" s="2">
        <x:v>1</x:v>
      </x:c>
      <x:c r="O102" s="2">
        <x:v>0.5</x:v>
      </x:c>
      <x:c r="P102" s="2">
        <x:v>0.5</x:v>
      </x:c>
      <x:c r="Q102" s="2"/>
      <x:c r="R102" s="2"/>
      <x:c r="S102" s="17"/>
    </x:row>
    <x:row r="103" spans="1:19">
      <x:c r="A103" s="8"/>
      <x:c r="B103" s="2">
        <x:f>IFERROR(VLOOKUP(B101,Sheet1!$A$1:$B$15,2,0),"")</x:f>
        <x:v>156</x:v>
      </x:c>
      <x:c r="C103" s="2">
        <x:f>IFERROR(VLOOKUP(C101,Sheet1!$A$1:$B$15,2,0),"")</x:f>
        <x:v>27</x:v>
      </x:c>
      <x:c r="D103" s="2">
        <x:f>IFERROR(VLOOKUP(D101,Sheet1!$A$1:$B$15,2,0),"")</x:f>
        <x:v>12</x:v>
      </x:c>
      <x:c r="E103" s="2">
        <x:f>IFERROR(VLOOKUP(E101,Sheet1!$A$1:$B$15,2,0),"")</x:f>
        <x:v>26</x:v>
      </x:c>
      <x:c r="F103" s="2" t="str">
        <x:f>IFERROR(VLOOKUP(F101,Sheet1!$A$1:$B$15,2,0),"")</x:f>
        <x:v/>
      </x:c>
      <x:c r="G103" s="2" t="str">
        <x:f>IFERROR(VLOOKUP(G101,Sheet1!$A$1:$B$15,2,0),"")</x:f>
        <x:v/>
      </x:c>
      <x:c r="H103" s="17"/>
      <x:c r="M103" s="8"/>
      <x:c r="N103" s="2">
        <x:f>IFERROR(VLOOKUP(N101,$A$2:$H$109,8,0),"")</x:f>
        <x:v>36.338028169014088</x:v>
      </x:c>
      <x:c r="O103" s="2">
        <x:f>IFERROR(VLOOKUP(O101,$A$2:$H$109,8,0),"")</x:f>
        <x:v>41.079999999999998</x:v>
      </x:c>
      <x:c r="P103" s="2">
        <x:f>IFERROR(VLOOKUP(P101,$A$2:$H$109,8,0),"")</x:f>
        <x:v>-19.280000000000001</x:v>
      </x:c>
      <x:c r="Q103" s="2" t="str">
        <x:f>IFERROR(VLOOKUP(Q101,$A$2:$H$109,8,0),"")</x:f>
        <x:v/>
      </x:c>
      <x:c r="R103" s="2" t="str">
        <x:f>IFERROR(VLOOKUP(R101,$A$2:$H$109,8,0),"")</x:f>
        <x:v/>
      </x:c>
      <x:c r="S103" s="17"/>
    </x:row>
    <x:row r="104" spans="1:19">
      <x:c r="A104" s="8" t="s">
        <x:v>96</x:v>
      </x:c>
      <x:c r="B104" s="2" t="s">
        <x:v>103</x:v>
      </x:c>
      <x:c r="C104" s="2" t="s">
        <x:v>108</x:v>
      </x:c>
      <x:c r="D104" s="2" t="s">
        <x:v>110</x:v>
      </x:c>
      <x:c r="E104" s="2"/>
      <x:c r="F104" s="2"/>
      <x:c r="G104" s="2"/>
      <x:c r="H104" s="17">
        <x:f>SUMPRODUCT(B105:G105,B106:G106)/SUM(B105:G105)</x:f>
        <x:v>15.874999999999998</x:v>
      </x:c>
      <x:c r="M104" s="9" t="s">
        <x:v>89</x:v>
      </x:c>
      <x:c r="N104" s="2" t="s">
        <x:v>36</x:v>
      </x:c>
      <x:c r="O104" s="2" t="s">
        <x:v>50</x:v>
      </x:c>
      <x:c r="P104" s="2" t="s">
        <x:v>39</x:v>
      </x:c>
      <x:c r="Q104" s="2"/>
      <x:c r="R104" s="2"/>
      <x:c r="S104" s="17">
        <x:f>SUMPRODUCT(N105:R105,N106:R106)/SUM(N105:R105)</x:f>
        <x:v>-4.3235849056603808</x:v>
      </x:c>
    </x:row>
    <x:row r="105" spans="1:19">
      <x:c r="A105" s="8"/>
      <x:c r="B105" s="2">
        <x:v>0.90000000000000002</x:v>
      </x:c>
      <x:c r="C105" s="2">
        <x:v>0.90000000000000002</x:v>
      </x:c>
      <x:c r="D105" s="2">
        <x:v>0.59999999999999998</x:v>
      </x:c>
      <x:c r="E105" s="2"/>
      <x:c r="F105" s="2"/>
      <x:c r="G105" s="2"/>
      <x:c r="H105" s="17"/>
      <x:c r="M105" s="8"/>
      <x:c r="N105" s="2">
        <x:v>1</x:v>
      </x:c>
      <x:c r="O105" s="2">
        <x:v>0.5</x:v>
      </x:c>
      <x:c r="P105" s="2">
        <x:v>0.5</x:v>
      </x:c>
      <x:c r="Q105" s="2"/>
      <x:c r="R105" s="2"/>
      <x:c r="S105" s="17"/>
    </x:row>
    <x:row r="106" spans="1:19">
      <x:c r="A106" s="8"/>
      <x:c r="B106" s="2">
        <x:f>IFERROR(VLOOKUP(B104,Sheet1!$A$1:$B$15,2,0),"")</x:f>
        <x:v>82</x:v>
      </x:c>
      <x:c r="C106" s="2">
        <x:f>IFERROR(VLOOKUP(C104,Sheet1!$A$1:$B$15,2,0),"")</x:f>
        <x:v>-13</x:v>
      </x:c>
      <x:c r="D106" s="2">
        <x:f>IFERROR(VLOOKUP(D104,Sheet1!$A$1:$B$15,2,0),"")</x:f>
        <x:v>-40</x:v>
      </x:c>
      <x:c r="E106" s="2" t="str">
        <x:f>IFERROR(VLOOKUP(E104,Sheet1!$A$1:$B$15,2,0),"")</x:f>
        <x:v/>
      </x:c>
      <x:c r="F106" s="2" t="str">
        <x:f>IFERROR(VLOOKUP(F104,Sheet1!$A$1:$B$15,2,0),"")</x:f>
        <x:v/>
      </x:c>
      <x:c r="G106" s="2" t="str">
        <x:f>IFERROR(VLOOKUP(G104,Sheet1!$A$1:$B$15,2,0),"")</x:f>
        <x:v/>
      </x:c>
      <x:c r="H106" s="17"/>
      <x:c r="M106" s="8"/>
      <x:c r="N106" s="2">
        <x:f>IFERROR(VLOOKUP(N104,$A$2:$H$109,8,0),"")</x:f>
        <x:v>-19.54716981132076</x:v>
      </x:c>
      <x:c r="O106" s="2">
        <x:f>IFERROR(VLOOKUP(O104,$A$2:$H$109,8,0),"")</x:f>
        <x:v>41.079999999999998</x:v>
      </x:c>
      <x:c r="P106" s="2">
        <x:f>IFERROR(VLOOKUP(P104,$A$2:$H$109,8,0),"")</x:f>
        <x:v>-19.280000000000001</x:v>
      </x:c>
      <x:c r="Q106" s="2" t="str">
        <x:f>IFERROR(VLOOKUP(Q104,$A$2:$H$109,8,0),"")</x:f>
        <x:v/>
      </x:c>
      <x:c r="R106" s="2" t="str">
        <x:f>IFERROR(VLOOKUP(R104,$A$2:$H$109,8,0),"")</x:f>
        <x:v/>
      </x:c>
      <x:c r="S106" s="17"/>
    </x:row>
    <x:row r="107" spans="1:19">
      <x:c r="A107" s="8" t="s">
        <x:v>105</x:v>
      </x:c>
      <x:c r="B107" s="2" t="s">
        <x:v>104</x:v>
      </x:c>
      <x:c r="C107" s="2" t="s">
        <x:v>108</x:v>
      </x:c>
      <x:c r="D107" s="2" t="s">
        <x:v>110</x:v>
      </x:c>
      <x:c r="E107" s="2"/>
      <x:c r="F107" s="2"/>
      <x:c r="G107" s="2"/>
      <x:c r="H107" s="17">
        <x:f>SUMPRODUCT(B108:G108,B109:G109)/SUM(B108:G108)</x:f>
        <x:v>45.125</x:v>
      </x:c>
      <x:c r="M107" s="9" t="s">
        <x:v>90</x:v>
      </x:c>
      <x:c r="N107" s="2" t="s">
        <x:v>27</x:v>
      </x:c>
      <x:c r="O107" s="2" t="s">
        <x:v>50</x:v>
      </x:c>
      <x:c r="P107" s="2" t="s">
        <x:v>39</x:v>
      </x:c>
      <x:c r="Q107" s="2"/>
      <x:c r="R107" s="2"/>
      <x:c r="S107" s="17">
        <x:f>SUMPRODUCT(N108:R108,N109:R109)/SUM(N108:R108)</x:f>
        <x:v>17.696153846153845</x:v>
      </x:c>
    </x:row>
    <x:row r="108" spans="1:19">
      <x:c r="A108" s="8"/>
      <x:c r="B108" s="2">
        <x:v>0.90000000000000002</x:v>
      </x:c>
      <x:c r="C108" s="2">
        <x:v>0.69999999999999996</x:v>
      </x:c>
      <x:c r="D108" s="2">
        <x:v>0.80000000000000004</x:v>
      </x:c>
      <x:c r="E108" s="2"/>
      <x:c r="F108" s="2"/>
      <x:c r="G108" s="2"/>
      <x:c r="H108" s="17"/>
      <x:c r="M108" s="8"/>
      <x:c r="N108" s="2">
        <x:v>1</x:v>
      </x:c>
      <x:c r="O108" s="2">
        <x:v>0.5</x:v>
      </x:c>
      <x:c r="P108" s="2">
        <x:v>0.5</x:v>
      </x:c>
      <x:c r="Q108" s="2"/>
      <x:c r="R108" s="2"/>
      <x:c r="S108" s="17"/>
    </x:row>
    <x:row r="109" spans="1:19">
      <x:c r="A109" s="8"/>
      <x:c r="B109" s="2">
        <x:f>IFERROR(VLOOKUP(B107,Sheet1!$A$1:$B$15,2,0),"")</x:f>
        <x:v>166</x:v>
      </x:c>
      <x:c r="C109" s="2">
        <x:f>IFERROR(VLOOKUP(C107,Sheet1!$A$1:$B$15,2,0),"")</x:f>
        <x:v>-13</x:v>
      </x:c>
      <x:c r="D109" s="2">
        <x:f>IFERROR(VLOOKUP(D107,Sheet1!$A$1:$B$15,2,0),"")</x:f>
        <x:v>-40</x:v>
      </x:c>
      <x:c r="E109" s="2" t="str">
        <x:f>IFERROR(VLOOKUP(E107,Sheet1!$A$1:$B$15,2,0),"")</x:f>
        <x:v/>
      </x:c>
      <x:c r="F109" s="2" t="str">
        <x:f>IFERROR(VLOOKUP(F107,Sheet1!$A$1:$B$15,2,0),"")</x:f>
        <x:v/>
      </x:c>
      <x:c r="G109" s="2" t="str">
        <x:f>IFERROR(VLOOKUP(G107,Sheet1!$A$1:$B$15,2,0),"")</x:f>
        <x:v/>
      </x:c>
      <x:c r="H109" s="17"/>
      <x:c r="M109" s="8"/>
      <x:c r="N109" s="2">
        <x:f>IFERROR(VLOOKUP(N107,$A$2:$H$109,8,0),"")</x:f>
        <x:v>24.492307692307691</x:v>
      </x:c>
      <x:c r="O109" s="2">
        <x:f>IFERROR(VLOOKUP(O107,$A$2:$H$109,8,0),"")</x:f>
        <x:v>41.079999999999998</x:v>
      </x:c>
      <x:c r="P109" s="2">
        <x:f>IFERROR(VLOOKUP(P107,$A$2:$H$109,8,0),"")</x:f>
        <x:v>-19.280000000000001</x:v>
      </x:c>
      <x:c r="Q109" s="2" t="str">
        <x:f>IFERROR(VLOOKUP(Q107,$A$2:$H$109,8,0),"")</x:f>
        <x:v/>
      </x:c>
      <x:c r="R109" s="2" t="str">
        <x:f>IFERROR(VLOOKUP(R107,$A$2:$H$109,8,0),"")</x:f>
        <x:v/>
      </x:c>
      <x:c r="S109" s="17"/>
    </x:row>
    <x:row r="110" spans="13:19">
      <x:c r="M110" s="9" t="s">
        <x:v>70</x:v>
      </x:c>
      <x:c r="N110" s="2" t="s">
        <x:v>13</x:v>
      </x:c>
      <x:c r="O110" s="2" t="s">
        <x:v>50</x:v>
      </x:c>
      <x:c r="P110" s="2" t="s">
        <x:v>39</x:v>
      </x:c>
      <x:c r="Q110" s="2"/>
      <x:c r="R110" s="2"/>
      <x:c r="S110" s="17">
        <x:f>SUMPRODUCT(N111:R111,N112:R112)/SUM(N111:R111)</x:f>
        <x:v>3.290909090909091</x:v>
      </x:c>
    </x:row>
    <x:row r="111" spans="13:19">
      <x:c r="M111" s="8"/>
      <x:c r="N111" s="2">
        <x:v>1</x:v>
      </x:c>
      <x:c r="O111" s="2">
        <x:v>0.5</x:v>
      </x:c>
      <x:c r="P111" s="2">
        <x:v>0.5</x:v>
      </x:c>
      <x:c r="Q111" s="2"/>
      <x:c r="R111" s="2"/>
      <x:c r="S111" s="17"/>
    </x:row>
    <x:row r="112" spans="13:19">
      <x:c r="M112" s="8"/>
      <x:c r="N112" s="2">
        <x:f>IFERROR(VLOOKUP(N110,$A$2:$H$109,8,0),"")</x:f>
        <x:v>-4.3181818181818175</x:v>
      </x:c>
      <x:c r="O112" s="2">
        <x:f>IFERROR(VLOOKUP(O110,$A$2:$H$109,8,0),"")</x:f>
        <x:v>41.079999999999998</x:v>
      </x:c>
      <x:c r="P112" s="2">
        <x:f>IFERROR(VLOOKUP(P110,$A$2:$H$109,8,0),"")</x:f>
        <x:v>-19.280000000000001</x:v>
      </x:c>
      <x:c r="Q112" s="2" t="str">
        <x:f>IFERROR(VLOOKUP(Q110,$A$2:$H$109,8,0),"")</x:f>
        <x:v/>
      </x:c>
      <x:c r="R112" s="2" t="str">
        <x:f>IFERROR(VLOOKUP(R110,$A$2:$H$109,8,0),"")</x:f>
        <x:v/>
      </x:c>
      <x:c r="S112" s="17"/>
    </x:row>
    <x:row r="113" spans="13:19">
      <x:c r="M113" s="9" t="s">
        <x:v>69</x:v>
      </x:c>
      <x:c r="N113" s="2" t="s">
        <x:v>101</x:v>
      </x:c>
      <x:c r="O113" s="2" t="s">
        <x:v>50</x:v>
      </x:c>
      <x:c r="P113" s="2" t="s">
        <x:v>39</x:v>
      </x:c>
      <x:c r="Q113" s="2"/>
      <x:c r="R113" s="2"/>
      <x:c r="S113" s="17">
        <x:f>SUMPRODUCT(N114:R114,N115:R115)/SUM(N114:R114)</x:f>
        <x:v>-5.6425925925925906</x:v>
      </x:c>
    </x:row>
    <x:row r="114" spans="13:19">
      <x:c r="M114" s="8"/>
      <x:c r="N114" s="2">
        <x:v>1</x:v>
      </x:c>
      <x:c r="O114" s="2">
        <x:v>0.5</x:v>
      </x:c>
      <x:c r="P114" s="2">
        <x:v>0.5</x:v>
      </x:c>
      <x:c r="Q114" s="2"/>
      <x:c r="R114" s="2"/>
      <x:c r="S114" s="17"/>
    </x:row>
    <x:row r="115" spans="13:19">
      <x:c r="M115" s="8"/>
      <x:c r="N115" s="2">
        <x:f>IFERROR(VLOOKUP(N113,$A$2:$H$109,8,0),"")</x:f>
        <x:v>-22.18518518518518</x:v>
      </x:c>
      <x:c r="O115" s="2">
        <x:f>IFERROR(VLOOKUP(O113,$A$2:$H$109,8,0),"")</x:f>
        <x:v>41.079999999999998</x:v>
      </x:c>
      <x:c r="P115" s="2">
        <x:f>IFERROR(VLOOKUP(P113,$A$2:$H$109,8,0),"")</x:f>
        <x:v>-19.280000000000001</x:v>
      </x:c>
      <x:c r="Q115" s="2" t="str">
        <x:f>IFERROR(VLOOKUP(Q113,$A$2:$H$109,8,0),"")</x:f>
        <x:v/>
      </x:c>
      <x:c r="R115" s="2" t="str">
        <x:f>IFERROR(VLOOKUP(R113,$A$2:$H$109,8,0),"")</x:f>
        <x:v/>
      </x:c>
      <x:c r="S115" s="17"/>
    </x:row>
    <x:row r="116" spans="13:19">
      <x:c r="M116" s="9" t="s">
        <x:v>85</x:v>
      </x:c>
      <x:c r="N116" s="2" t="s">
        <x:v>44</x:v>
      </x:c>
      <x:c r="O116" s="2" t="s">
        <x:v>50</x:v>
      </x:c>
      <x:c r="P116" s="2" t="s">
        <x:v>39</x:v>
      </x:c>
      <x:c r="Q116" s="2"/>
      <x:c r="R116" s="2"/>
      <x:c r="S116" s="17">
        <x:f>SUMPRODUCT(N117:R117,N118:R118)/SUM(N117:R117)</x:f>
        <x:v>26.998387096774199</x:v>
      </x:c>
    </x:row>
    <x:row r="117" spans="13:19">
      <x:c r="M117" s="8"/>
      <x:c r="N117" s="2">
        <x:v>1</x:v>
      </x:c>
      <x:c r="O117" s="2">
        <x:v>0.5</x:v>
      </x:c>
      <x:c r="P117" s="2">
        <x:v>0.5</x:v>
      </x:c>
      <x:c r="Q117" s="2"/>
      <x:c r="R117" s="2"/>
      <x:c r="S117" s="17"/>
    </x:row>
    <x:row r="118" spans="13:19">
      <x:c r="M118" s="8"/>
      <x:c r="N118" s="2">
        <x:f>IFERROR(VLOOKUP(N116,$A$2:$H$109,8,0),"")</x:f>
        <x:v>43.096774193548399</x:v>
      </x:c>
      <x:c r="O118" s="2">
        <x:f>IFERROR(VLOOKUP(O116,$A$2:$H$109,8,0),"")</x:f>
        <x:v>41.079999999999998</x:v>
      </x:c>
      <x:c r="P118" s="2">
        <x:f>IFERROR(VLOOKUP(P116,$A$2:$H$109,8,0),"")</x:f>
        <x:v>-19.280000000000001</x:v>
      </x:c>
      <x:c r="Q118" s="2" t="str">
        <x:f>IFERROR(VLOOKUP(Q116,$A$2:$H$109,8,0),"")</x:f>
        <x:v/>
      </x:c>
      <x:c r="R118" s="2" t="str">
        <x:f>IFERROR(VLOOKUP(R116,$A$2:$H$109,8,0),"")</x:f>
        <x:v/>
      </x:c>
      <x:c r="S118" s="17"/>
    </x:row>
    <x:row r="119" spans="13:19">
      <x:c r="M119" s="9" t="s">
        <x:v>80</x:v>
      </x:c>
      <x:c r="N119" s="2" t="s">
        <x:v>30</x:v>
      </x:c>
      <x:c r="O119" s="2" t="s">
        <x:v>50</x:v>
      </x:c>
      <x:c r="P119" s="2" t="s">
        <x:v>39</x:v>
      </x:c>
      <x:c r="Q119" s="2"/>
      <x:c r="R119" s="2"/>
      <x:c r="S119" s="17">
        <x:f>SUMPRODUCT(N120:R120,N121:R121)/SUM(N120:R120)</x:f>
        <x:v>21.212711864406778</x:v>
      </x:c>
    </x:row>
    <x:row r="120" spans="13:19">
      <x:c r="M120" s="8"/>
      <x:c r="N120" s="2">
        <x:v>1</x:v>
      </x:c>
      <x:c r="O120" s="2">
        <x:v>0.5</x:v>
      </x:c>
      <x:c r="P120" s="2">
        <x:v>0.5</x:v>
      </x:c>
      <x:c r="Q120" s="2"/>
      <x:c r="R120" s="2"/>
      <x:c r="S120" s="17"/>
    </x:row>
    <x:row r="121" spans="13:19">
      <x:c r="M121" s="8"/>
      <x:c r="N121" s="2">
        <x:f>IFERROR(VLOOKUP(N119,$A$2:$H$109,8,0),"")</x:f>
        <x:v>31.525423728813561</x:v>
      </x:c>
      <x:c r="O121" s="2">
        <x:f>IFERROR(VLOOKUP(O119,$A$2:$H$109,8,0),"")</x:f>
        <x:v>41.079999999999998</x:v>
      </x:c>
      <x:c r="P121" s="2">
        <x:f>IFERROR(VLOOKUP(P119,$A$2:$H$109,8,0),"")</x:f>
        <x:v>-19.280000000000001</x:v>
      </x:c>
      <x:c r="Q121" s="2" t="str">
        <x:f>IFERROR(VLOOKUP(Q119,$A$2:$H$109,8,0),"")</x:f>
        <x:v/>
      </x:c>
      <x:c r="R121" s="2" t="str">
        <x:f>IFERROR(VLOOKUP(R119,$A$2:$H$109,8,0),"")</x:f>
        <x:v/>
      </x:c>
      <x:c r="S121" s="17"/>
    </x:row>
    <x:row r="122" spans="13:19">
      <x:c r="M122" s="9" t="s">
        <x:v>87</x:v>
      </x:c>
      <x:c r="N122" s="2" t="s">
        <x:v>40</x:v>
      </x:c>
      <x:c r="O122" s="2" t="s">
        <x:v>50</x:v>
      </x:c>
      <x:c r="P122" s="2" t="s">
        <x:v>39</x:v>
      </x:c>
      <x:c r="Q122" s="2"/>
      <x:c r="R122" s="2"/>
      <x:c r="S122" s="17">
        <x:f>SUMPRODUCT(N123:R123,N124:R124)/SUM(N123:R123)</x:f>
        <x:v>12.467241379310348</x:v>
      </x:c>
    </x:row>
    <x:row r="123" spans="13:19">
      <x:c r="M123" s="8"/>
      <x:c r="N123" s="2">
        <x:v>1</x:v>
      </x:c>
      <x:c r="O123" s="2">
        <x:v>0.5</x:v>
      </x:c>
      <x:c r="P123" s="2">
        <x:v>0.5</x:v>
      </x:c>
      <x:c r="Q123" s="2"/>
      <x:c r="R123" s="2"/>
      <x:c r="S123" s="17"/>
    </x:row>
    <x:row r="124" spans="13:19">
      <x:c r="M124" s="8"/>
      <x:c r="N124" s="2">
        <x:f>IFERROR(VLOOKUP(N122,$A$2:$H$109,8,0),"")</x:f>
        <x:v>14.034482758620696</x:v>
      </x:c>
      <x:c r="O124" s="2">
        <x:f>IFERROR(VLOOKUP(O122,$A$2:$H$109,8,0),"")</x:f>
        <x:v>41.079999999999998</x:v>
      </x:c>
      <x:c r="P124" s="2">
        <x:f>IFERROR(VLOOKUP(P122,$A$2:$H$109,8,0),"")</x:f>
        <x:v>-19.280000000000001</x:v>
      </x:c>
      <x:c r="Q124" s="2" t="str">
        <x:f>IFERROR(VLOOKUP(Q122,$A$2:$H$109,8,0),"")</x:f>
        <x:v/>
      </x:c>
      <x:c r="R124" s="2" t="str">
        <x:f>IFERROR(VLOOKUP(R122,$A$2:$H$109,8,0),"")</x:f>
        <x:v/>
      </x:c>
      <x:c r="S124" s="17"/>
    </x:row>
    <x:row r="125" spans="13:19">
      <x:c r="M125" s="9" t="s">
        <x:v>76</x:v>
      </x:c>
      <x:c r="N125" s="2" t="s">
        <x:v>34</x:v>
      </x:c>
      <x:c r="O125" s="2" t="s">
        <x:v>50</x:v>
      </x:c>
      <x:c r="P125" s="2" t="s">
        <x:v>39</x:v>
      </x:c>
      <x:c r="Q125" s="2"/>
      <x:c r="R125" s="2"/>
      <x:c r="S125" s="17">
        <x:f>SUMPRODUCT(N126:R126,N127:R127)/SUM(N126:R126)</x:f>
        <x:v>24.016666666666666</x:v>
      </x:c>
    </x:row>
    <x:row r="126" spans="13:19">
      <x:c r="M126" s="8"/>
      <x:c r="N126" s="2">
        <x:v>1</x:v>
      </x:c>
      <x:c r="O126" s="2">
        <x:v>0.5</x:v>
      </x:c>
      <x:c r="P126" s="2">
        <x:v>0.5</x:v>
      </x:c>
      <x:c r="Q126" s="2"/>
      <x:c r="R126" s="2"/>
      <x:c r="S126" s="17"/>
    </x:row>
    <x:row r="127" spans="13:19">
      <x:c r="M127" s="8"/>
      <x:c r="N127" s="2">
        <x:f>IFERROR(VLOOKUP(N125,$A$2:$H$109,8,0),"")</x:f>
        <x:v>37.133333333333333</x:v>
      </x:c>
      <x:c r="O127" s="2">
        <x:f>IFERROR(VLOOKUP(O125,$A$2:$H$109,8,0),"")</x:f>
        <x:v>41.079999999999998</x:v>
      </x:c>
      <x:c r="P127" s="2">
        <x:f>IFERROR(VLOOKUP(P125,$A$2:$H$109,8,0),"")</x:f>
        <x:v>-19.280000000000001</x:v>
      </x:c>
      <x:c r="Q127" s="2" t="str">
        <x:f>IFERROR(VLOOKUP(Q125,$A$2:$H$109,8,0),"")</x:f>
        <x:v/>
      </x:c>
      <x:c r="R127" s="2" t="str">
        <x:f>IFERROR(VLOOKUP(R125,$A$2:$H$109,8,0),"")</x:f>
        <x:v/>
      </x:c>
      <x:c r="S127" s="17"/>
    </x:row>
    <x:row r="128" spans="13:19">
      <x:c r="M128" s="9" t="s">
        <x:v>28</x:v>
      </x:c>
      <x:c r="N128" s="2" t="s">
        <x:v>109</x:v>
      </x:c>
      <x:c r="O128" s="2" t="s">
        <x:v>50</x:v>
      </x:c>
      <x:c r="P128" s="2" t="s">
        <x:v>6</x:v>
      </x:c>
      <x:c r="Q128" s="2" t="s">
        <x:v>43</x:v>
      </x:c>
      <x:c r="R128" s="2"/>
      <x:c r="S128" s="17">
        <x:f>SUMPRODUCT(N129:R129,N130:R130)/SUM(N129:R129)</x:f>
        <x:v>39.571765506679142</x:v>
      </x:c>
    </x:row>
    <x:row r="129" spans="13:19">
      <x:c r="M129" s="8"/>
      <x:c r="N129" s="2">
        <x:v>1</x:v>
      </x:c>
      <x:c r="O129" s="2">
        <x:v>1</x:v>
      </x:c>
      <x:c r="P129" s="2">
        <x:v>0.5</x:v>
      </x:c>
      <x:c r="Q129" s="2">
        <x:v>1</x:v>
      </x:c>
      <x:c r="R129" s="2"/>
      <x:c r="S129" s="17"/>
    </x:row>
    <x:row r="130" spans="13:19">
      <x:c r="M130" s="8"/>
      <x:c r="N130" s="2">
        <x:f>IFERROR(VLOOKUP(N128,$A$2:$H$109,8,0),"")</x:f>
        <x:v>45.040000000000006</x:v>
      </x:c>
      <x:c r="O130" s="2">
        <x:f>IFERROR(VLOOKUP(O128,$A$2:$H$109,8,0),"")</x:f>
        <x:v>41.079999999999998</x:v>
      </x:c>
      <x:c r="P130" s="2">
        <x:f>IFERROR(VLOOKUP(P128,$A$2:$H$109,8,0),"")</x:f>
        <x:v>59.913043478260867</x:v>
      </x:c>
      <x:c r="Q130" s="2">
        <x:f>IFERROR(VLOOKUP(Q128,$A$2:$H$109,8,0),"")</x:f>
        <x:v>22.424657534246574</x:v>
      </x:c>
      <x:c r="R130" s="2" t="str">
        <x:f>IFERROR(VLOOKUP(R128,$A$2:$H$109,8,0),"")</x:f>
        <x:v/>
      </x:c>
      <x:c r="S130" s="17"/>
    </x:row>
    <x:row r="131" spans="13:19">
      <x:c r="M131" s="9" t="s">
        <x:v>20</x:v>
      </x:c>
      <x:c r="N131" s="2" t="s">
        <x:v>112</x:v>
      </x:c>
      <x:c r="O131" s="2" t="s">
        <x:v>39</x:v>
      </x:c>
      <x:c r="P131" s="2" t="s">
        <x:v>50</x:v>
      </x:c>
      <x:c r="Q131" s="2" t="s">
        <x:v>6</x:v>
      </x:c>
      <x:c r="R131" s="2"/>
      <x:c r="S131" s="17">
        <x:f>SUMPRODUCT(N132:R132,N133:R133)/SUM(N132:R132)</x:f>
        <x:v>-0.52920289855072422</x:v>
      </x:c>
    </x:row>
    <x:row r="132" spans="13:19">
      <x:c r="M132" s="8"/>
      <x:c r="N132" s="2">
        <x:v>1</x:v>
      </x:c>
      <x:c r="O132" s="2">
        <x:v>0.5</x:v>
      </x:c>
      <x:c r="P132" s="2">
        <x:v>0.25</x:v>
      </x:c>
      <x:c r="Q132" s="2">
        <x:v>0.25</x:v>
      </x:c>
      <x:c r="R132" s="2"/>
      <x:c r="S132" s="17"/>
    </x:row>
    <x:row r="133" spans="13:19">
      <x:c r="M133" s="8"/>
      <x:c r="N133" s="2">
        <x:f>IFERROR(VLOOKUP(N131,$A$2:$H$109,8,0),"")</x:f>
        <x:v>-16.666666666666664</x:v>
      </x:c>
      <x:c r="O133" s="2">
        <x:f>IFERROR(VLOOKUP(O131,$A$2:$H$109,8,0),"")</x:f>
        <x:v>-19.280000000000001</x:v>
      </x:c>
      <x:c r="P133" s="2">
        <x:f>IFERROR(VLOOKUP(P131,$A$2:$H$109,8,0),"")</x:f>
        <x:v>41.079999999999998</x:v>
      </x:c>
      <x:c r="Q133" s="2">
        <x:f>IFERROR(VLOOKUP(Q131,$A$2:$H$109,8,0),"")</x:f>
        <x:v>59.913043478260867</x:v>
      </x:c>
      <x:c r="R133" s="2" t="str">
        <x:f>IFERROR(VLOOKUP(R131,$A$2:$H$109,8,0),"")</x:f>
        <x:v/>
      </x:c>
      <x:c r="S133" s="17"/>
    </x:row>
    <x:row r="134" spans="13:19">
      <x:c r="M134" s="9" t="s">
        <x:v>2</x:v>
      </x:c>
      <x:c r="N134" s="2" t="s">
        <x:v>112</x:v>
      </x:c>
      <x:c r="O134" s="2" t="s">
        <x:v>39</x:v>
      </x:c>
      <x:c r="P134" s="2" t="s">
        <x:v>42</x:v>
      </x:c>
      <x:c r="Q134" s="2" t="s">
        <x:v>6</x:v>
      </x:c>
      <x:c r="R134" s="2"/>
      <x:c r="S134" s="17">
        <x:f>SUMPRODUCT(N135:R135,N136:R136)/SUM(N135:R135)</x:f>
        <x:v>8.6435083756822912</x:v>
      </x:c>
    </x:row>
    <x:row r="135" spans="13:19">
      <x:c r="M135" s="8"/>
      <x:c r="N135" s="2">
        <x:v>1</x:v>
      </x:c>
      <x:c r="O135" s="2">
        <x:v>1</x:v>
      </x:c>
      <x:c r="P135" s="2">
        <x:v>1</x:v>
      </x:c>
      <x:c r="Q135" s="2">
        <x:v>0.5</x:v>
      </x:c>
      <x:c r="R135" s="2"/>
      <x:c r="S135" s="17"/>
    </x:row>
    <x:row r="136" spans="13:19">
      <x:c r="M136" s="8"/>
      <x:c r="N136" s="2">
        <x:f>IFERROR(VLOOKUP(N134,$A$2:$H$109,8,0),"")</x:f>
        <x:v>-16.666666666666664</x:v>
      </x:c>
      <x:c r="O136" s="2">
        <x:f>IFERROR(VLOOKUP(O134,$A$2:$H$109,8,0),"")</x:f>
        <x:v>-19.280000000000001</x:v>
      </x:c>
      <x:c r="P136" s="2">
        <x:f>IFERROR(VLOOKUP(P134,$A$2:$H$109,8,0),"")</x:f>
        <x:v>36.242424242424249</x:v>
      </x:c>
      <x:c r="Q136" s="2">
        <x:f>IFERROR(VLOOKUP(Q134,$A$2:$H$109,8,0),"")</x:f>
        <x:v>59.913043478260867</x:v>
      </x:c>
      <x:c r="R136" s="2" t="str">
        <x:f>IFERROR(VLOOKUP(R134,$A$2:$H$109,8,0),"")</x:f>
        <x:v/>
      </x:c>
      <x:c r="S136" s="17"/>
    </x:row>
    <x:row r="137" spans="13:19">
      <x:c r="M137" s="9" t="s">
        <x:v>52</x:v>
      </x:c>
      <x:c r="N137" s="2" t="s">
        <x:v>97</x:v>
      </x:c>
      <x:c r="O137" s="2" t="s">
        <x:v>50</x:v>
      </x:c>
      <x:c r="P137" s="2" t="s">
        <x:v>39</x:v>
      </x:c>
      <x:c r="Q137" s="2"/>
      <x:c r="R137" s="2"/>
      <x:c r="S137" s="17">
        <x:f>SUMPRODUCT(N138:R138,N139:R139)/SUM(N138:R138)</x:f>
        <x:v>32.203312629399591</x:v>
      </x:c>
    </x:row>
    <x:row r="138" spans="13:19">
      <x:c r="M138" s="8"/>
      <x:c r="N138" s="2">
        <x:v>1</x:v>
      </x:c>
      <x:c r="O138" s="2">
        <x:v>0.20000000000000001</x:v>
      </x:c>
      <x:c r="P138" s="2">
        <x:v>0.20000000000000001</x:v>
      </x:c>
      <x:c r="Q138" s="2"/>
      <x:c r="R138" s="2"/>
      <x:c r="S138" s="17"/>
    </x:row>
    <x:row r="139" spans="13:19">
      <x:c r="M139" s="8"/>
      <x:c r="N139" s="2">
        <x:f>IFERROR(VLOOKUP(N137,$A$2:$H$109,8,0),"")</x:f>
        <x:v>40.724637681159422</x:v>
      </x:c>
      <x:c r="O139" s="2">
        <x:f>IFERROR(VLOOKUP(O137,$A$2:$H$109,8,0),"")</x:f>
        <x:v>41.079999999999998</x:v>
      </x:c>
      <x:c r="P139" s="2">
        <x:f>IFERROR(VLOOKUP(P137,$A$2:$H$109,8,0),"")</x:f>
        <x:v>-19.280000000000001</x:v>
      </x:c>
      <x:c r="Q139" s="2" t="str">
        <x:f>IFERROR(VLOOKUP(Q137,$A$2:$H$109,8,0),"")</x:f>
        <x:v/>
      </x:c>
      <x:c r="R139" s="2" t="str">
        <x:f>IFERROR(VLOOKUP(R137,$A$2:$H$109,8,0),"")</x:f>
        <x:v/>
      </x:c>
      <x:c r="S139" s="17"/>
    </x:row>
    <x:row r="140" spans="13:19">
      <x:c r="M140" s="9" t="s">
        <x:v>77</x:v>
      </x:c>
      <x:c r="N140" s="2" t="s">
        <x:v>47</x:v>
      </x:c>
      <x:c r="O140" s="2" t="s">
        <x:v>50</x:v>
      </x:c>
      <x:c r="P140" s="2" t="s">
        <x:v>39</x:v>
      </x:c>
      <x:c r="Q140" s="2"/>
      <x:c r="R140" s="2"/>
      <x:c r="S140" s="17">
        <x:f>SUMPRODUCT(N141:R141,N142:R142)/SUM(N141:R141)</x:f>
        <x:v>-14.373399014778323</x:v>
      </x:c>
    </x:row>
    <x:row r="141" spans="13:19">
      <x:c r="M141" s="8"/>
      <x:c r="N141" s="2">
        <x:v>1</x:v>
      </x:c>
      <x:c r="O141" s="2">
        <x:v>0.20000000000000001</x:v>
      </x:c>
      <x:c r="P141" s="2">
        <x:v>0.20000000000000001</x:v>
      </x:c>
      <x:c r="Q141" s="2"/>
      <x:c r="R141" s="2"/>
      <x:c r="S141" s="17"/>
    </x:row>
    <x:row r="142" spans="13:19">
      <x:c r="M142" s="8"/>
      <x:c r="N142" s="2">
        <x:f>IFERROR(VLOOKUP(N140,$A$2:$H$109,8,0),"")</x:f>
        <x:v>-24.482758620689651</x:v>
      </x:c>
      <x:c r="O142" s="2">
        <x:f>IFERROR(VLOOKUP(O140,$A$2:$H$109,8,0),"")</x:f>
        <x:v>41.079999999999998</x:v>
      </x:c>
      <x:c r="P142" s="2">
        <x:f>IFERROR(VLOOKUP(P140,$A$2:$H$109,8,0),"")</x:f>
        <x:v>-19.280000000000001</x:v>
      </x:c>
      <x:c r="Q142" s="2" t="str">
        <x:f>IFERROR(VLOOKUP(Q140,$A$2:$H$109,8,0),"")</x:f>
        <x:v/>
      </x:c>
      <x:c r="R142" s="2" t="str">
        <x:f>IFERROR(VLOOKUP(R140,$A$2:$H$109,8,0),"")</x:f>
        <x:v/>
      </x:c>
      <x:c r="S142" s="17"/>
    </x:row>
    <x:row r="143" spans="13:19">
      <x:c r="M143" s="9" t="s">
        <x:v>56</x:v>
      </x:c>
      <x:c r="N143" s="2" t="s">
        <x:v>112</x:v>
      </x:c>
      <x:c r="O143" s="2" t="s">
        <x:v>50</x:v>
      </x:c>
      <x:c r="P143" s="2" t="s">
        <x:v>39</x:v>
      </x:c>
      <x:c r="Q143" s="2"/>
      <x:c r="R143" s="2"/>
      <x:c r="S143" s="17">
        <x:f>SUMPRODUCT(N144:R144,N145:R145)/SUM(N144:R144)</x:f>
        <x:v>-8.7904761904761894</x:v>
      </x:c>
    </x:row>
    <x:row r="144" spans="13:19">
      <x:c r="M144" s="8"/>
      <x:c r="N144" s="2">
        <x:v>1</x:v>
      </x:c>
      <x:c r="O144" s="2">
        <x:v>0.20000000000000001</x:v>
      </x:c>
      <x:c r="P144" s="2">
        <x:v>0.20000000000000001</x:v>
      </x:c>
      <x:c r="Q144" s="2"/>
      <x:c r="R144" s="2"/>
      <x:c r="S144" s="17"/>
    </x:row>
    <x:row r="145" spans="13:19">
      <x:c r="M145" s="8"/>
      <x:c r="N145" s="2">
        <x:f>IFERROR(VLOOKUP(N143,$A$2:$H$109,8,0),"")</x:f>
        <x:v>-16.666666666666664</x:v>
      </x:c>
      <x:c r="O145" s="2">
        <x:f>IFERROR(VLOOKUP(O143,$A$2:$H$109,8,0),"")</x:f>
        <x:v>41.079999999999998</x:v>
      </x:c>
      <x:c r="P145" s="2">
        <x:f>IFERROR(VLOOKUP(P143,$A$2:$H$109,8,0),"")</x:f>
        <x:v>-19.280000000000001</x:v>
      </x:c>
      <x:c r="Q145" s="2" t="str">
        <x:f>IFERROR(VLOOKUP(Q143,$A$2:$H$109,8,0),"")</x:f>
        <x:v/>
      </x:c>
      <x:c r="R145" s="2" t="str">
        <x:f>IFERROR(VLOOKUP(R143,$A$2:$H$109,8,0),"")</x:f>
        <x:v/>
      </x:c>
      <x:c r="S145" s="17"/>
    </x:row>
    <x:row r="146" spans="13:19">
      <x:c r="M146" s="9" t="s">
        <x:v>54</x:v>
      </x:c>
      <x:c r="N146" s="2" t="s">
        <x:v>8</x:v>
      </x:c>
      <x:c r="O146" s="2" t="s">
        <x:v>50</x:v>
      </x:c>
      <x:c r="P146" s="2" t="s">
        <x:v>39</x:v>
      </x:c>
      <x:c r="Q146" s="2"/>
      <x:c r="R146" s="2"/>
      <x:c r="S146" s="17">
        <x:f>SUMPRODUCT(N147:R147,N148:R148)/SUM(N147:R147)</x:f>
        <x:v>-14.266666666666669</x:v>
      </x:c>
    </x:row>
    <x:row r="147" spans="13:19">
      <x:c r="M147" s="8"/>
      <x:c r="N147" s="2">
        <x:v>1</x:v>
      </x:c>
      <x:c r="O147" s="2">
        <x:v>0.20000000000000001</x:v>
      </x:c>
      <x:c r="P147" s="2">
        <x:v>0.20000000000000001</x:v>
      </x:c>
      <x:c r="Q147" s="2"/>
      <x:c r="R147" s="2"/>
      <x:c r="S147" s="17"/>
    </x:row>
    <x:row r="148" spans="13:19">
      <x:c r="M148" s="8"/>
      <x:c r="N148" s="2">
        <x:f>IFERROR(VLOOKUP(N146,$A$2:$H$109,8,0),"")</x:f>
        <x:v>-24.333333333333336</x:v>
      </x:c>
      <x:c r="O148" s="2">
        <x:f>IFERROR(VLOOKUP(O146,$A$2:$H$109,8,0),"")</x:f>
        <x:v>41.079999999999998</x:v>
      </x:c>
      <x:c r="P148" s="2">
        <x:f>IFERROR(VLOOKUP(P146,$A$2:$H$109,8,0),"")</x:f>
        <x:v>-19.280000000000001</x:v>
      </x:c>
      <x:c r="Q148" s="2" t="str">
        <x:f>IFERROR(VLOOKUP(Q146,$A$2:$H$109,8,0),"")</x:f>
        <x:v/>
      </x:c>
      <x:c r="R148" s="2" t="str">
        <x:f>IFERROR(VLOOKUP(R146,$A$2:$H$109,8,0),"")</x:f>
        <x:v/>
      </x:c>
      <x:c r="S148" s="17"/>
    </x:row>
    <x:row r="149" spans="13:19">
      <x:c r="M149" s="9" t="s">
        <x:v>62</x:v>
      </x:c>
      <x:c r="N149" s="2" t="s">
        <x:v>16</x:v>
      </x:c>
      <x:c r="O149" s="2" t="s">
        <x:v>50</x:v>
      </x:c>
      <x:c r="P149" s="2" t="s">
        <x:v>39</x:v>
      </x:c>
      <x:c r="Q149" s="2"/>
      <x:c r="R149" s="2"/>
      <x:c r="S149" s="17">
        <x:f>SUMPRODUCT(N150:R150,N151:R151)/SUM(N150:R150)</x:f>
        <x:v>-12.866106442577028</x:v>
      </x:c>
    </x:row>
    <x:row r="150" spans="13:19">
      <x:c r="M150" s="8"/>
      <x:c r="N150" s="2">
        <x:v>1</x:v>
      </x:c>
      <x:c r="O150" s="2">
        <x:v>0.20000000000000001</x:v>
      </x:c>
      <x:c r="P150" s="2">
        <x:v>0.20000000000000001</x:v>
      </x:c>
      <x:c r="Q150" s="2"/>
      <x:c r="R150" s="2"/>
      <x:c r="S150" s="17"/>
    </x:row>
    <x:row r="151" spans="13:19">
      <x:c r="M151" s="8"/>
      <x:c r="N151" s="2">
        <x:f>IFERROR(VLOOKUP(N149,$A$2:$H$109,8,0),"")</x:f>
        <x:v>-22.372549019607838</x:v>
      </x:c>
      <x:c r="O151" s="2">
        <x:f>IFERROR(VLOOKUP(O149,$A$2:$H$109,8,0),"")</x:f>
        <x:v>41.079999999999998</x:v>
      </x:c>
      <x:c r="P151" s="2">
        <x:f>IFERROR(VLOOKUP(P149,$A$2:$H$109,8,0),"")</x:f>
        <x:v>-19.280000000000001</x:v>
      </x:c>
      <x:c r="Q151" s="2" t="str">
        <x:f>IFERROR(VLOOKUP(Q149,$A$2:$H$109,8,0),"")</x:f>
        <x:v/>
      </x:c>
      <x:c r="R151" s="2" t="str">
        <x:f>IFERROR(VLOOKUP(R149,$A$2:$H$109,8,0),"")</x:f>
        <x:v/>
      </x:c>
      <x:c r="S151" s="17"/>
    </x:row>
    <x:row r="152" spans="13:19">
      <x:c r="M152" s="9" t="s">
        <x:v>63</x:v>
      </x:c>
      <x:c r="N152" s="2" t="s">
        <x:v>42</x:v>
      </x:c>
      <x:c r="O152" s="2" t="s">
        <x:v>50</x:v>
      </x:c>
      <x:c r="P152" s="2" t="s">
        <x:v>39</x:v>
      </x:c>
      <x:c r="Q152" s="2"/>
      <x:c r="R152" s="2"/>
      <x:c r="S152" s="17">
        <x:f>SUMPRODUCT(N153:R153,N154:R154)/SUM(N153:R153)</x:f>
        <x:v>29.00173160173161</x:v>
      </x:c>
    </x:row>
    <x:row r="153" spans="13:19">
      <x:c r="M153" s="8"/>
      <x:c r="N153" s="2">
        <x:v>1</x:v>
      </x:c>
      <x:c r="O153" s="2">
        <x:v>0.20000000000000001</x:v>
      </x:c>
      <x:c r="P153" s="2">
        <x:v>0.20000000000000001</x:v>
      </x:c>
      <x:c r="Q153" s="2"/>
      <x:c r="R153" s="2"/>
      <x:c r="S153" s="17"/>
    </x:row>
    <x:row r="154" spans="13:19">
      <x:c r="M154" s="8"/>
      <x:c r="N154" s="2">
        <x:f>IFERROR(VLOOKUP(N152,$A$2:$H$109,8,0),"")</x:f>
        <x:v>36.242424242424249</x:v>
      </x:c>
      <x:c r="O154" s="2">
        <x:f>IFERROR(VLOOKUP(O152,$A$2:$H$109,8,0),"")</x:f>
        <x:v>41.079999999999998</x:v>
      </x:c>
      <x:c r="P154" s="2">
        <x:f>IFERROR(VLOOKUP(P152,$A$2:$H$109,8,0),"")</x:f>
        <x:v>-19.280000000000001</x:v>
      </x:c>
      <x:c r="Q154" s="2" t="str">
        <x:f>IFERROR(VLOOKUP(Q152,$A$2:$H$109,8,0),"")</x:f>
        <x:v/>
      </x:c>
      <x:c r="R154" s="2" t="str">
        <x:f>IFERROR(VLOOKUP(R152,$A$2:$H$109,8,0),"")</x:f>
        <x:v/>
      </x:c>
      <x:c r="S154" s="17"/>
    </x:row>
    <x:row r="155" spans="13:19">
      <x:c r="M155" s="9" t="s">
        <x:v>58</x:v>
      </x:c>
      <x:c r="N155" s="2" t="s">
        <x:v>41</x:v>
      </x:c>
      <x:c r="O155" s="2" t="s">
        <x:v>50</x:v>
      </x:c>
      <x:c r="P155" s="2" t="s">
        <x:v>39</x:v>
      </x:c>
      <x:c r="Q155" s="2"/>
      <x:c r="R155" s="2"/>
      <x:c r="S155" s="17">
        <x:f>SUMPRODUCT(N156:R156,N157:R157)/SUM(N156:R156)</x:f>
        <x:v>26.526984126984129</x:v>
      </x:c>
    </x:row>
    <x:row r="156" spans="13:19">
      <x:c r="M156" s="8"/>
      <x:c r="N156" s="2">
        <x:v>1</x:v>
      </x:c>
      <x:c r="O156" s="2">
        <x:v>0.20000000000000001</x:v>
      </x:c>
      <x:c r="P156" s="2">
        <x:v>0.20000000000000001</x:v>
      </x:c>
      <x:c r="Q156" s="2"/>
      <x:c r="R156" s="2"/>
      <x:c r="S156" s="17"/>
    </x:row>
    <x:row r="157" spans="13:19">
      <x:c r="M157" s="8"/>
      <x:c r="N157" s="2">
        <x:f>IFERROR(VLOOKUP(N155,$A$2:$H$109,8,0),"")</x:f>
        <x:v>32.777777777777779</x:v>
      </x:c>
      <x:c r="O157" s="2">
        <x:f>IFERROR(VLOOKUP(O155,$A$2:$H$109,8,0),"")</x:f>
        <x:v>41.079999999999998</x:v>
      </x:c>
      <x:c r="P157" s="2">
        <x:f>IFERROR(VLOOKUP(P155,$A$2:$H$109,8,0),"")</x:f>
        <x:v>-19.280000000000001</x:v>
      </x:c>
      <x:c r="Q157" s="2" t="str">
        <x:f>IFERROR(VLOOKUP(Q155,$A$2:$H$109,8,0),"")</x:f>
        <x:v/>
      </x:c>
      <x:c r="R157" s="2" t="str">
        <x:f>IFERROR(VLOOKUP(R155,$A$2:$H$109,8,0),"")</x:f>
        <x:v/>
      </x:c>
      <x:c r="S157" s="17"/>
    </x:row>
    <x:row r="158" spans="13:19">
      <x:c r="M158" s="9" t="s">
        <x:v>75</x:v>
      </x:c>
      <x:c r="N158" s="2" t="s">
        <x:v>33</x:v>
      </x:c>
      <x:c r="O158" s="2" t="s">
        <x:v>50</x:v>
      </x:c>
      <x:c r="P158" s="2" t="s">
        <x:v>39</x:v>
      </x:c>
      <x:c r="Q158" s="2"/>
      <x:c r="R158" s="2"/>
      <x:c r="S158" s="17">
        <x:f>SUMPRODUCT(N159:R159,N160:R160)/SUM(N159:R159)</x:f>
        <x:v>39.263354037267085</x:v>
      </x:c>
    </x:row>
    <x:row r="159" spans="13:19">
      <x:c r="M159" s="8"/>
      <x:c r="N159" s="2">
        <x:v>1</x:v>
      </x:c>
      <x:c r="O159" s="2">
        <x:v>0.20000000000000001</x:v>
      </x:c>
      <x:c r="P159" s="2">
        <x:v>0.20000000000000001</x:v>
      </x:c>
      <x:c r="Q159" s="2"/>
      <x:c r="R159" s="2"/>
      <x:c r="S159" s="17"/>
    </x:row>
    <x:row r="160" spans="13:19">
      <x:c r="M160" s="8"/>
      <x:c r="N160" s="2">
        <x:f>IFERROR(VLOOKUP(N158,$A$2:$H$109,8,0),"")</x:f>
        <x:v>50.608695652173914</x:v>
      </x:c>
      <x:c r="O160" s="2">
        <x:f>IFERROR(VLOOKUP(O158,$A$2:$H$109,8,0),"")</x:f>
        <x:v>41.079999999999998</x:v>
      </x:c>
      <x:c r="P160" s="2">
        <x:f>IFERROR(VLOOKUP(P158,$A$2:$H$109,8,0),"")</x:f>
        <x:v>-19.280000000000001</x:v>
      </x:c>
      <x:c r="Q160" s="2" t="str">
        <x:f>IFERROR(VLOOKUP(Q158,$A$2:$H$109,8,0),"")</x:f>
        <x:v/>
      </x:c>
      <x:c r="R160" s="2" t="str">
        <x:f>IFERROR(VLOOKUP(R158,$A$2:$H$109,8,0),"")</x:f>
        <x:v/>
      </x:c>
      <x:c r="S160" s="17"/>
    </x:row>
    <x:row r="161" spans="13:19">
      <x:c r="M161" s="9" t="s">
        <x:v>51</x:v>
      </x:c>
      <x:c r="N161" s="2" t="s">
        <x:v>43</x:v>
      </x:c>
      <x:c r="O161" s="2" t="s">
        <x:v>50</x:v>
      </x:c>
      <x:c r="P161" s="2" t="s">
        <x:v>39</x:v>
      </x:c>
      <x:c r="Q161" s="2"/>
      <x:c r="R161" s="2"/>
      <x:c r="S161" s="17">
        <x:f>SUMPRODUCT(N162:R162,N163:R163)/SUM(N162:R162)</x:f>
        <x:v>19.131898238747549</x:v>
      </x:c>
    </x:row>
    <x:row r="162" spans="13:19">
      <x:c r="M162" s="8"/>
      <x:c r="N162" s="2">
        <x:v>1</x:v>
      </x:c>
      <x:c r="O162" s="2">
        <x:v>0.20000000000000001</x:v>
      </x:c>
      <x:c r="P162" s="2">
        <x:v>0.20000000000000001</x:v>
      </x:c>
      <x:c r="Q162" s="2"/>
      <x:c r="R162" s="2"/>
      <x:c r="S162" s="17"/>
    </x:row>
    <x:row r="163" spans="13:19">
      <x:c r="M163" s="8"/>
      <x:c r="N163" s="2">
        <x:f>IFERROR(VLOOKUP(N161,$A$2:$H$109,8,0),"")</x:f>
        <x:v>22.424657534246574</x:v>
      </x:c>
      <x:c r="O163" s="2">
        <x:f>IFERROR(VLOOKUP(O161,$A$2:$H$109,8,0),"")</x:f>
        <x:v>41.079999999999998</x:v>
      </x:c>
      <x:c r="P163" s="2">
        <x:f>IFERROR(VLOOKUP(P161,$A$2:$H$109,8,0),"")</x:f>
        <x:v>-19.280000000000001</x:v>
      </x:c>
      <x:c r="Q163" s="2" t="str">
        <x:f>IFERROR(VLOOKUP(Q161,$A$2:$H$109,8,0),"")</x:f>
        <x:v/>
      </x:c>
      <x:c r="R163" s="2" t="str">
        <x:f>IFERROR(VLOOKUP(R161,$A$2:$H$109,8,0),"")</x:f>
        <x:v/>
      </x:c>
      <x:c r="S163" s="17"/>
    </x:row>
    <x:row r="164" spans="13:19">
      <x:c r="M164" s="9" t="s">
        <x:v>61</x:v>
      </x:c>
      <x:c r="N164" s="2" t="s">
        <x:v>111</x:v>
      </x:c>
      <x:c r="O164" s="2" t="s">
        <x:v>50</x:v>
      </x:c>
      <x:c r="P164" s="2" t="s">
        <x:v>39</x:v>
      </x:c>
      <x:c r="Q164" s="2"/>
      <x:c r="R164" s="2"/>
      <x:c r="S164" s="17">
        <x:f>SUMPRODUCT(N165:R165,N166:R166)/SUM(N165:R165)</x:f>
        <x:v>31.209523809523809</x:v>
      </x:c>
    </x:row>
    <x:row r="165" spans="13:19">
      <x:c r="M165" s="8"/>
      <x:c r="N165" s="2">
        <x:v>1</x:v>
      </x:c>
      <x:c r="O165" s="2">
        <x:v>0.20000000000000001</x:v>
      </x:c>
      <x:c r="P165" s="2">
        <x:v>0.20000000000000001</x:v>
      </x:c>
      <x:c r="Q165" s="2"/>
      <x:c r="R165" s="2"/>
      <x:c r="S165" s="17"/>
    </x:row>
    <x:row r="166" spans="13:19">
      <x:c r="M166" s="8"/>
      <x:c r="N166" s="2">
        <x:f>IFERROR(VLOOKUP(N164,$A$2:$H$109,8,0),"")</x:f>
        <x:v>39.333333333333329</x:v>
      </x:c>
      <x:c r="O166" s="2">
        <x:f>IFERROR(VLOOKUP(O164,$A$2:$H$109,8,0),"")</x:f>
        <x:v>41.079999999999998</x:v>
      </x:c>
      <x:c r="P166" s="2">
        <x:f>IFERROR(VLOOKUP(P164,$A$2:$H$109,8,0),"")</x:f>
        <x:v>-19.280000000000001</x:v>
      </x:c>
      <x:c r="Q166" s="2" t="str">
        <x:f>IFERROR(VLOOKUP(Q164,$A$2:$H$109,8,0),"")</x:f>
        <x:v/>
      </x:c>
      <x:c r="R166" s="2" t="str">
        <x:f>IFERROR(VLOOKUP(R164,$A$2:$H$109,8,0),"")</x:f>
        <x:v/>
      </x:c>
      <x:c r="S166" s="17"/>
    </x:row>
    <x:row r="167" spans="13:19">
      <x:c r="M167" s="9" t="s">
        <x:v>83</x:v>
      </x:c>
      <x:c r="N167" s="2" t="s">
        <x:v>115</x:v>
      </x:c>
      <x:c r="O167" s="2" t="s">
        <x:v>50</x:v>
      </x:c>
      <x:c r="P167" s="2" t="s">
        <x:v>39</x:v>
      </x:c>
      <x:c r="Q167" s="2"/>
      <x:c r="R167" s="2"/>
      <x:c r="S167" s="17">
        <x:f>SUMPRODUCT(N168:R168,N169:R169)/SUM(N168:R168)</x:f>
        <x:v>29.070020120724351</x:v>
      </x:c>
    </x:row>
    <x:row r="168" spans="13:19">
      <x:c r="M168" s="8"/>
      <x:c r="N168" s="2">
        <x:v>1</x:v>
      </x:c>
      <x:c r="O168" s="2">
        <x:v>0.20000000000000001</x:v>
      </x:c>
      <x:c r="P168" s="2">
        <x:v>0.20000000000000001</x:v>
      </x:c>
      <x:c r="Q168" s="2"/>
      <x:c r="R168" s="2"/>
      <x:c r="S168" s="17"/>
    </x:row>
    <x:row r="169" spans="13:19">
      <x:c r="M169" s="8"/>
      <x:c r="N169" s="2">
        <x:f>IFERROR(VLOOKUP(N167,$A$2:$H$109,8,0),"")</x:f>
        <x:v>36.338028169014088</x:v>
      </x:c>
      <x:c r="O169" s="2">
        <x:f>IFERROR(VLOOKUP(O167,$A$2:$H$109,8,0),"")</x:f>
        <x:v>41.079999999999998</x:v>
      </x:c>
      <x:c r="P169" s="2">
        <x:f>IFERROR(VLOOKUP(P167,$A$2:$H$109,8,0),"")</x:f>
        <x:v>-19.280000000000001</x:v>
      </x:c>
      <x:c r="Q169" s="2" t="str">
        <x:f>IFERROR(VLOOKUP(Q167,$A$2:$H$109,8,0),"")</x:f>
        <x:v/>
      </x:c>
      <x:c r="R169" s="2" t="str">
        <x:f>IFERROR(VLOOKUP(R167,$A$2:$H$109,8,0),"")</x:f>
        <x:v/>
      </x:c>
      <x:c r="S169" s="17"/>
    </x:row>
    <x:row r="170" spans="13:19">
      <x:c r="M170" s="9" t="s">
        <x:v>81</x:v>
      </x:c>
      <x:c r="N170" s="2" t="s">
        <x:v>36</x:v>
      </x:c>
      <x:c r="O170" s="2" t="s">
        <x:v>50</x:v>
      </x:c>
      <x:c r="P170" s="2" t="s">
        <x:v>39</x:v>
      </x:c>
      <x:c r="Q170" s="2"/>
      <x:c r="R170" s="2"/>
      <x:c r="S170" s="17">
        <x:f>SUMPRODUCT(N171:R171,N172:R172)/SUM(N171:R171)</x:f>
        <x:v>-10.847978436657687</x:v>
      </x:c>
    </x:row>
    <x:row r="171" spans="13:19">
      <x:c r="M171" s="8"/>
      <x:c r="N171" s="2">
        <x:v>1</x:v>
      </x:c>
      <x:c r="O171" s="2">
        <x:v>0.20000000000000001</x:v>
      </x:c>
      <x:c r="P171" s="2">
        <x:v>0.20000000000000001</x:v>
      </x:c>
      <x:c r="Q171" s="2"/>
      <x:c r="R171" s="2"/>
      <x:c r="S171" s="17"/>
    </x:row>
    <x:row r="172" spans="13:19">
      <x:c r="M172" s="8"/>
      <x:c r="N172" s="2">
        <x:f>IFERROR(VLOOKUP(N170,$A$2:$H$109,8,0),"")</x:f>
        <x:v>-19.54716981132076</x:v>
      </x:c>
      <x:c r="O172" s="2">
        <x:f>IFERROR(VLOOKUP(O170,$A$2:$H$109,8,0),"")</x:f>
        <x:v>41.079999999999998</x:v>
      </x:c>
      <x:c r="P172" s="2">
        <x:f>IFERROR(VLOOKUP(P170,$A$2:$H$109,8,0),"")</x:f>
        <x:v>-19.280000000000001</x:v>
      </x:c>
      <x:c r="Q172" s="2" t="str">
        <x:f>IFERROR(VLOOKUP(Q170,$A$2:$H$109,8,0),"")</x:f>
        <x:v/>
      </x:c>
      <x:c r="R172" s="2" t="str">
        <x:f>IFERROR(VLOOKUP(R170,$A$2:$H$109,8,0),"")</x:f>
        <x:v/>
      </x:c>
      <x:c r="S172" s="17"/>
    </x:row>
    <x:row r="173" spans="13:19">
      <x:c r="M173" s="9" t="s">
        <x:v>74</x:v>
      </x:c>
      <x:c r="N173" s="2" t="s">
        <x:v>27</x:v>
      </x:c>
      <x:c r="O173" s="2" t="s">
        <x:v>50</x:v>
      </x:c>
      <x:c r="P173" s="2" t="s">
        <x:v>39</x:v>
      </x:c>
      <x:c r="Q173" s="2"/>
      <x:c r="R173" s="2"/>
      <x:c r="S173" s="17">
        <x:f>SUMPRODUCT(N174:R174,N175:R175)/SUM(N174:R174)</x:f>
        <x:v>20.60879120879121</x:v>
      </x:c>
    </x:row>
    <x:row r="174" spans="13:19">
      <x:c r="M174" s="8"/>
      <x:c r="N174" s="2">
        <x:v>1</x:v>
      </x:c>
      <x:c r="O174" s="2">
        <x:v>0.20000000000000001</x:v>
      </x:c>
      <x:c r="P174" s="2">
        <x:v>0.20000000000000001</x:v>
      </x:c>
      <x:c r="Q174" s="2"/>
      <x:c r="R174" s="2"/>
      <x:c r="S174" s="17"/>
    </x:row>
    <x:row r="175" spans="13:19">
      <x:c r="M175" s="8"/>
      <x:c r="N175" s="2">
        <x:f>IFERROR(VLOOKUP(N173,$A$2:$H$109,8,0),"")</x:f>
        <x:v>24.492307692307691</x:v>
      </x:c>
      <x:c r="O175" s="2">
        <x:f>IFERROR(VLOOKUP(O173,$A$2:$H$109,8,0),"")</x:f>
        <x:v>41.079999999999998</x:v>
      </x:c>
      <x:c r="P175" s="2">
        <x:f>IFERROR(VLOOKUP(P173,$A$2:$H$109,8,0),"")</x:f>
        <x:v>-19.280000000000001</x:v>
      </x:c>
      <x:c r="Q175" s="2" t="str">
        <x:f>IFERROR(VLOOKUP(Q173,$A$2:$H$109,8,0),"")</x:f>
        <x:v/>
      </x:c>
      <x:c r="R175" s="2" t="str">
        <x:f>IFERROR(VLOOKUP(R173,$A$2:$H$109,8,0),"")</x:f>
        <x:v/>
      </x:c>
      <x:c r="S175" s="17"/>
    </x:row>
    <x:row r="176" spans="13:19">
      <x:c r="M176" s="9" t="s">
        <x:v>79</x:v>
      </x:c>
      <x:c r="N176" s="2" t="s">
        <x:v>13</x:v>
      </x:c>
      <x:c r="O176" s="2" t="s">
        <x:v>50</x:v>
      </x:c>
      <x:c r="P176" s="2" t="s">
        <x:v>39</x:v>
      </x:c>
      <x:c r="Q176" s="2"/>
      <x:c r="R176" s="2"/>
      <x:c r="S176" s="17">
        <x:f>SUMPRODUCT(N177:R177,N178:R178)/SUM(N177:R177)</x:f>
        <x:v>0.029870129870129668</x:v>
      </x:c>
    </x:row>
    <x:row r="177" spans="13:19">
      <x:c r="M177" s="8"/>
      <x:c r="N177" s="2">
        <x:v>1</x:v>
      </x:c>
      <x:c r="O177" s="2">
        <x:v>0.20000000000000001</x:v>
      </x:c>
      <x:c r="P177" s="2">
        <x:v>0.20000000000000001</x:v>
      </x:c>
      <x:c r="Q177" s="2"/>
      <x:c r="R177" s="2"/>
      <x:c r="S177" s="17"/>
    </x:row>
    <x:row r="178" spans="13:19">
      <x:c r="M178" s="8"/>
      <x:c r="N178" s="2">
        <x:f>IFERROR(VLOOKUP(N176,$A$2:$H$109,8,0),"")</x:f>
        <x:v>-4.3181818181818175</x:v>
      </x:c>
      <x:c r="O178" s="2">
        <x:f>IFERROR(VLOOKUP(O176,$A$2:$H$109,8,0),"")</x:f>
        <x:v>41.079999999999998</x:v>
      </x:c>
      <x:c r="P178" s="2">
        <x:f>IFERROR(VLOOKUP(P176,$A$2:$H$109,8,0),"")</x:f>
        <x:v>-19.280000000000001</x:v>
      </x:c>
      <x:c r="Q178" s="2" t="str">
        <x:f>IFERROR(VLOOKUP(Q176,$A$2:$H$109,8,0),"")</x:f>
        <x:v/>
      </x:c>
      <x:c r="R178" s="2" t="str">
        <x:f>IFERROR(VLOOKUP(R176,$A$2:$H$109,8,0),"")</x:f>
        <x:v/>
      </x:c>
      <x:c r="S178" s="17"/>
    </x:row>
    <x:row r="179" spans="13:19">
      <x:c r="M179" s="9" t="s">
        <x:v>57</x:v>
      </x:c>
      <x:c r="N179" s="2" t="s">
        <x:v>101</x:v>
      </x:c>
      <x:c r="O179" s="2" t="s">
        <x:v>50</x:v>
      </x:c>
      <x:c r="P179" s="2" t="s">
        <x:v>39</x:v>
      </x:c>
      <x:c r="Q179" s="2"/>
      <x:c r="R179" s="2"/>
      <x:c r="S179" s="17">
        <x:f>SUMPRODUCT(N180:R180,N181:R181)/SUM(N180:R180)</x:f>
        <x:v>-12.732275132275129</x:v>
      </x:c>
    </x:row>
    <x:row r="180" spans="13:19">
      <x:c r="M180" s="8"/>
      <x:c r="N180" s="2">
        <x:v>1</x:v>
      </x:c>
      <x:c r="O180" s="2">
        <x:v>0.20000000000000001</x:v>
      </x:c>
      <x:c r="P180" s="2">
        <x:v>0.20000000000000001</x:v>
      </x:c>
      <x:c r="Q180" s="2"/>
      <x:c r="R180" s="2"/>
      <x:c r="S180" s="17"/>
    </x:row>
    <x:row r="181" spans="13:19">
      <x:c r="M181" s="8"/>
      <x:c r="N181" s="2">
        <x:f>IFERROR(VLOOKUP(N179,$A$2:$H$109,8,0),"")</x:f>
        <x:v>-22.18518518518518</x:v>
      </x:c>
      <x:c r="O181" s="2">
        <x:f>IFERROR(VLOOKUP(O179,$A$2:$H$109,8,0),"")</x:f>
        <x:v>41.079999999999998</x:v>
      </x:c>
      <x:c r="P181" s="2">
        <x:f>IFERROR(VLOOKUP(P179,$A$2:$H$109,8,0),"")</x:f>
        <x:v>-19.280000000000001</x:v>
      </x:c>
      <x:c r="Q181" s="2" t="str">
        <x:f>IFERROR(VLOOKUP(Q179,$A$2:$H$109,8,0),"")</x:f>
        <x:v/>
      </x:c>
      <x:c r="R181" s="2" t="str">
        <x:f>IFERROR(VLOOKUP(R179,$A$2:$H$109,8,0),"")</x:f>
        <x:v/>
      </x:c>
      <x:c r="S181" s="17"/>
    </x:row>
    <x:row r="182" spans="13:19">
      <x:c r="M182" s="9" t="s">
        <x:v>84</x:v>
      </x:c>
      <x:c r="N182" s="2" t="s">
        <x:v>44</x:v>
      </x:c>
      <x:c r="O182" s="2" t="s">
        <x:v>50</x:v>
      </x:c>
      <x:c r="P182" s="2" t="s">
        <x:v>39</x:v>
      </x:c>
      <x:c r="Q182" s="2"/>
      <x:c r="R182" s="2"/>
      <x:c r="S182" s="17">
        <x:f>SUMPRODUCT(N183:R183,N184:R184)/SUM(N183:R183)</x:f>
        <x:v>33.897695852534575</x:v>
      </x:c>
    </x:row>
    <x:row r="183" spans="13:19">
      <x:c r="M183" s="8"/>
      <x:c r="N183" s="2">
        <x:v>1</x:v>
      </x:c>
      <x:c r="O183" s="2">
        <x:v>0.20000000000000001</x:v>
      </x:c>
      <x:c r="P183" s="2">
        <x:v>0.20000000000000001</x:v>
      </x:c>
      <x:c r="Q183" s="2"/>
      <x:c r="R183" s="2"/>
      <x:c r="S183" s="17"/>
    </x:row>
    <x:row r="184" spans="13:19">
      <x:c r="M184" s="8"/>
      <x:c r="N184" s="2">
        <x:f>IFERROR(VLOOKUP(N182,$A$2:$H$109,8,0),"")</x:f>
        <x:v>43.096774193548399</x:v>
      </x:c>
      <x:c r="O184" s="2">
        <x:f>IFERROR(VLOOKUP(O182,$A$2:$H$109,8,0),"")</x:f>
        <x:v>41.079999999999998</x:v>
      </x:c>
      <x:c r="P184" s="2">
        <x:f>IFERROR(VLOOKUP(P182,$A$2:$H$109,8,0),"")</x:f>
        <x:v>-19.280000000000001</x:v>
      </x:c>
      <x:c r="Q184" s="2" t="str">
        <x:f>IFERROR(VLOOKUP(Q182,$A$2:$H$109,8,0),"")</x:f>
        <x:v/>
      </x:c>
      <x:c r="R184" s="2" t="str">
        <x:f>IFERROR(VLOOKUP(R182,$A$2:$H$109,8,0),"")</x:f>
        <x:v/>
      </x:c>
      <x:c r="S184" s="17"/>
    </x:row>
    <x:row r="185" spans="13:19">
      <x:c r="M185" s="9" t="s">
        <x:v>64</x:v>
      </x:c>
      <x:c r="N185" s="2" t="s">
        <x:v>30</x:v>
      </x:c>
      <x:c r="O185" s="2" t="s">
        <x:v>50</x:v>
      </x:c>
      <x:c r="P185" s="2" t="s">
        <x:v>39</x:v>
      </x:c>
      <x:c r="Q185" s="2"/>
      <x:c r="R185" s="2"/>
      <x:c r="S185" s="17">
        <x:f>SUMPRODUCT(N186:R186,N187:R187)/SUM(N186:R186)</x:f>
        <x:v>25.632445520581115</x:v>
      </x:c>
    </x:row>
    <x:row r="186" spans="13:19">
      <x:c r="M186" s="8"/>
      <x:c r="N186" s="2">
        <x:v>1</x:v>
      </x:c>
      <x:c r="O186" s="2">
        <x:v>0.20000000000000001</x:v>
      </x:c>
      <x:c r="P186" s="2">
        <x:v>0.20000000000000001</x:v>
      </x:c>
      <x:c r="Q186" s="2"/>
      <x:c r="R186" s="2"/>
      <x:c r="S186" s="17"/>
    </x:row>
    <x:row r="187" spans="13:19">
      <x:c r="M187" s="8"/>
      <x:c r="N187" s="2">
        <x:f>IFERROR(VLOOKUP(N185,$A$2:$H$109,8,0),"")</x:f>
        <x:v>31.525423728813561</x:v>
      </x:c>
      <x:c r="O187" s="2">
        <x:f>IFERROR(VLOOKUP(O185,$A$2:$H$109,8,0),"")</x:f>
        <x:v>41.079999999999998</x:v>
      </x:c>
      <x:c r="P187" s="2">
        <x:f>IFERROR(VLOOKUP(P185,$A$2:$H$109,8,0),"")</x:f>
        <x:v>-19.280000000000001</x:v>
      </x:c>
      <x:c r="Q187" s="2" t="str">
        <x:f>IFERROR(VLOOKUP(Q185,$A$2:$H$109,8,0),"")</x:f>
        <x:v/>
      </x:c>
      <x:c r="R187" s="2" t="str">
        <x:f>IFERROR(VLOOKUP(R185,$A$2:$H$109,8,0),"")</x:f>
        <x:v/>
      </x:c>
      <x:c r="S187" s="17"/>
    </x:row>
    <x:row r="188" spans="13:19">
      <x:c r="M188" s="9" t="s">
        <x:v>73</x:v>
      </x:c>
      <x:c r="N188" s="2" t="s">
        <x:v>40</x:v>
      </x:c>
      <x:c r="O188" s="2" t="s">
        <x:v>50</x:v>
      </x:c>
      <x:c r="P188" s="2" t="s">
        <x:v>39</x:v>
      </x:c>
      <x:c r="Q188" s="2"/>
      <x:c r="R188" s="2"/>
      <x:c r="S188" s="17">
        <x:f>SUMPRODUCT(N189:R189,N190:R190)/SUM(N189:R189)</x:f>
        <x:v>13.138916256157639</x:v>
      </x:c>
    </x:row>
    <x:row r="189" spans="13:19">
      <x:c r="M189" s="8"/>
      <x:c r="N189" s="2">
        <x:v>1</x:v>
      </x:c>
      <x:c r="O189" s="2">
        <x:v>0.20000000000000001</x:v>
      </x:c>
      <x:c r="P189" s="2">
        <x:v>0.20000000000000001</x:v>
      </x:c>
      <x:c r="Q189" s="2"/>
      <x:c r="R189" s="2"/>
      <x:c r="S189" s="17"/>
    </x:row>
    <x:row r="190" spans="13:19">
      <x:c r="M190" s="8"/>
      <x:c r="N190" s="2">
        <x:f>IFERROR(VLOOKUP(N188,$A$2:$H$109,8,0),"")</x:f>
        <x:v>14.034482758620696</x:v>
      </x:c>
      <x:c r="O190" s="2">
        <x:f>IFERROR(VLOOKUP(O188,$A$2:$H$109,8,0),"")</x:f>
        <x:v>41.079999999999998</x:v>
      </x:c>
      <x:c r="P190" s="2">
        <x:f>IFERROR(VLOOKUP(P188,$A$2:$H$109,8,0),"")</x:f>
        <x:v>-19.280000000000001</x:v>
      </x:c>
      <x:c r="Q190" s="2" t="str">
        <x:f>IFERROR(VLOOKUP(Q188,$A$2:$H$109,8,0),"")</x:f>
        <x:v/>
      </x:c>
      <x:c r="R190" s="2" t="str">
        <x:f>IFERROR(VLOOKUP(R188,$A$2:$H$109,8,0),"")</x:f>
        <x:v/>
      </x:c>
      <x:c r="S190" s="17"/>
    </x:row>
    <x:row r="191" spans="13:19">
      <x:c r="M191" s="9" t="s">
        <x:v>53</x:v>
      </x:c>
      <x:c r="N191" s="2" t="s">
        <x:v>34</x:v>
      </x:c>
      <x:c r="O191" s="2" t="s">
        <x:v>50</x:v>
      </x:c>
      <x:c r="P191" s="2" t="s">
        <x:v>39</x:v>
      </x:c>
      <x:c r="Q191" s="2"/>
      <x:c r="R191" s="2"/>
      <x:c r="S191" s="17">
        <x:f>SUMPRODUCT(N192:R192,N193:R193)/SUM(N192:R192)</x:f>
        <x:v>29.638095238095239</x:v>
      </x:c>
    </x:row>
    <x:row r="192" spans="13:19">
      <x:c r="M192" s="8"/>
      <x:c r="N192" s="2">
        <x:v>1</x:v>
      </x:c>
      <x:c r="O192" s="2">
        <x:v>0.20000000000000001</x:v>
      </x:c>
      <x:c r="P192" s="2">
        <x:v>0.20000000000000001</x:v>
      </x:c>
      <x:c r="Q192" s="2"/>
      <x:c r="R192" s="2"/>
      <x:c r="S192" s="17"/>
    </x:row>
    <x:row r="193" spans="13:19">
      <x:c r="M193" s="8"/>
      <x:c r="N193" s="2">
        <x:f>IFERROR(VLOOKUP(N191,$A$2:$H$109,8,0),"")</x:f>
        <x:v>37.133333333333333</x:v>
      </x:c>
      <x:c r="O193" s="2">
        <x:f>IFERROR(VLOOKUP(O191,$A$2:$H$109,8,0),"")</x:f>
        <x:v>41.079999999999998</x:v>
      </x:c>
      <x:c r="P193" s="2">
        <x:f>IFERROR(VLOOKUP(P191,$A$2:$H$109,8,0),"")</x:f>
        <x:v>-19.280000000000001</x:v>
      </x:c>
      <x:c r="Q193" s="2" t="str">
        <x:f>IFERROR(VLOOKUP(Q191,$A$2:$H$109,8,0),"")</x:f>
        <x:v/>
      </x:c>
      <x:c r="R193" s="2" t="str">
        <x:f>IFERROR(VLOOKUP(R191,$A$2:$H$109,8,0),"")</x:f>
        <x:v/>
      </x:c>
      <x:c r="S193" s="17"/>
    </x:row>
    <x:row r="194" spans="13:19">
      <x:c r="M194" s="9" t="s">
        <x:v>100</x:v>
      </x:c>
      <x:c r="N194" s="2" t="s">
        <x:v>8</x:v>
      </x:c>
      <x:c r="O194" s="2" t="s">
        <x:v>6</x:v>
      </x:c>
      <x:c r="P194" s="2"/>
      <x:c r="Q194" s="2"/>
      <x:c r="R194" s="2"/>
      <x:c r="S194" s="17">
        <x:f>SUMPRODUCT(N195:R195,N196:R196)/SUM(N195:R195)</x:f>
        <x:v>-10.292270531400968</x:v>
      </x:c>
    </x:row>
    <x:row r="195" spans="13:19">
      <x:c r="M195" s="8"/>
      <x:c r="N195" s="2">
        <x:v>1</x:v>
      </x:c>
      <x:c r="O195" s="2">
        <x:v>0.20000000000000001</x:v>
      </x:c>
      <x:c r="P195" s="2"/>
      <x:c r="Q195" s="2"/>
      <x:c r="R195" s="2"/>
      <x:c r="S195" s="17"/>
    </x:row>
    <x:row r="196" spans="13:19">
      <x:c r="M196" s="8"/>
      <x:c r="N196" s="2">
        <x:f>IFERROR(VLOOKUP(N194,$A$2:$H$109,8,0),"")</x:f>
        <x:v>-24.333333333333336</x:v>
      </x:c>
      <x:c r="O196" s="2">
        <x:f>IFERROR(VLOOKUP(O194,$A$2:$H$109,8,0),"")</x:f>
        <x:v>59.913043478260867</x:v>
      </x:c>
      <x:c r="P196" s="2" t="str">
        <x:f>IFERROR(VLOOKUP(P194,$A$2:$H$109,8,0),"")</x:f>
        <x:v/>
      </x:c>
      <x:c r="Q196" s="2" t="str">
        <x:f>IFERROR(VLOOKUP(Q194,$A$2:$H$109,8,0),"")</x:f>
        <x:v/>
      </x:c>
      <x:c r="R196" s="2" t="str">
        <x:f>IFERROR(VLOOKUP(R194,$A$2:$H$109,8,0),"")</x:f>
        <x:v/>
      </x:c>
      <x:c r="S196" s="17"/>
    </x:row>
    <x:row r="197" spans="13:19">
      <x:c r="M197" s="9" t="s">
        <x:v>95</x:v>
      </x:c>
      <x:c r="N197" s="2" t="s">
        <x:v>112</x:v>
      </x:c>
      <x:c r="O197" s="2" t="s">
        <x:v>6</x:v>
      </x:c>
      <x:c r="P197" s="2" t="s">
        <x:v>111</x:v>
      </x:c>
      <x:c r="Q197" s="2" t="s">
        <x:v>42</x:v>
      </x:c>
      <x:c r="R197" s="2"/>
      <x:c r="S197" s="17">
        <x:f>SUMPRODUCT(N198:R198,N199:R199)/SUM(N198:R198)</x:f>
        <x:v>20.431093544137024</x:v>
      </x:c>
    </x:row>
    <x:row r="198" spans="13:19">
      <x:c r="M198" s="8"/>
      <x:c r="N198" s="2">
        <x:v>1</x:v>
      </x:c>
      <x:c r="O198" s="2">
        <x:v>0.5</x:v>
      </x:c>
      <x:c r="P198" s="2">
        <x:v>0.5</x:v>
      </x:c>
      <x:c r="Q198" s="2">
        <x:v>0.5</x:v>
      </x:c>
      <x:c r="R198" s="2"/>
      <x:c r="S198" s="17"/>
    </x:row>
    <x:row r="199" spans="13:19">
      <x:c r="M199" s="8"/>
      <x:c r="N199" s="2">
        <x:f>IFERROR(VLOOKUP(N197,$A$2:$H$109,8,0),"")</x:f>
        <x:v>-16.666666666666664</x:v>
      </x:c>
      <x:c r="O199" s="2">
        <x:f>IFERROR(VLOOKUP(O197,$A$2:$H$109,8,0),"")</x:f>
        <x:v>59.913043478260867</x:v>
      </x:c>
      <x:c r="P199" s="2">
        <x:f>IFERROR(VLOOKUP(P197,$A$2:$H$109,8,0),"")</x:f>
        <x:v>39.333333333333329</x:v>
      </x:c>
      <x:c r="Q199" s="2">
        <x:f>IFERROR(VLOOKUP(Q197,$A$2:$H$109,8,0),"")</x:f>
        <x:v>36.242424242424249</x:v>
      </x:c>
      <x:c r="R199" s="2" t="str">
        <x:f>IFERROR(VLOOKUP(R197,$A$2:$H$109,8,0),"")</x:f>
        <x:v/>
      </x:c>
      <x:c r="S199" s="17"/>
    </x:row>
    <x:row r="200" spans="13:19">
      <x:c r="M200" s="9" t="s">
        <x:v>3</x:v>
      </x:c>
      <x:c r="N200" s="2" t="s">
        <x:v>112</x:v>
      </x:c>
      <x:c r="O200" s="2" t="s">
        <x:v>6</x:v>
      </x:c>
      <x:c r="P200" s="2" t="s">
        <x:v>114</x:v>
      </x:c>
      <x:c r="Q200" s="2" t="s">
        <x:v>111</x:v>
      </x:c>
      <x:c r="R200" s="2" t="s">
        <x:v>115</x:v>
      </x:c>
      <x:c r="S200" s="17">
        <x:f>SUMPRODUCT(N201:R201,N202:R202)/SUM(N201:R201)</x:f>
        <x:v>26.357713347615761</x:v>
      </x:c>
    </x:row>
    <x:row r="201" spans="13:19">
      <x:c r="M201" s="8"/>
      <x:c r="N201" s="2">
        <x:v>1</x:v>
      </x:c>
      <x:c r="O201" s="2">
        <x:v>0.5</x:v>
      </x:c>
      <x:c r="P201" s="2">
        <x:v>0.5</x:v>
      </x:c>
      <x:c r="Q201" s="2">
        <x:v>0.5</x:v>
      </x:c>
      <x:c r="R201" s="2">
        <x:v>1</x:v>
      </x:c>
      <x:c r="S201" s="17"/>
    </x:row>
    <x:row r="202" spans="13:19">
      <x:c r="M202" s="8"/>
      <x:c r="N202" s="2">
        <x:f>IFERROR(VLOOKUP(N200,$A$2:$H$109,8,0),"")</x:f>
        <x:v>-16.666666666666664</x:v>
      </x:c>
      <x:c r="O202" s="2">
        <x:f>IFERROR(VLOOKUP(O200,$A$2:$H$109,8,0),"")</x:f>
        <x:v>59.913043478260867</x:v>
      </x:c>
      <x:c r="P202" s="2">
        <x:f>IFERROR(VLOOKUP(P200,$A$2:$H$109,8,0),"")</x:f>
        <x:v>45.914893617021278</x:v>
      </x:c>
      <x:c r="Q202" s="2">
        <x:f>IFERROR(VLOOKUP(Q200,$A$2:$H$109,8,0),"")</x:f>
        <x:v>39.333333333333329</x:v>
      </x:c>
      <x:c r="R202" s="2">
        <x:f>IFERROR(VLOOKUP(R200,$A$2:$H$109,8,0),"")</x:f>
        <x:v>36.338028169014088</x:v>
      </x:c>
      <x:c r="S202" s="17"/>
    </x:row>
  </x:sheetData>
  <x:sheetProtection sheet="1" objects="1" scenarios="1" formatCells="1" formatColumns="1" formatRows="1" insertColumns="1" insertRows="1" insertHyperlinks="1" deleteColumns="1" deleteRows="1" selectLockedCells="0" sort="1" autoFilter="1" pivotTables="1" selectUnlockedCells="0"/>
  <x:autoFilter ref="A1:G160"/>
  <x:mergeCells count="206">
    <x:mergeCell ref="A2:A4"/>
    <x:mergeCell ref="H2:H4"/>
    <x:mergeCell ref="M2:M4"/>
    <x:mergeCell ref="S2:S4"/>
    <x:mergeCell ref="A5:A7"/>
    <x:mergeCell ref="H5:H7"/>
    <x:mergeCell ref="M5:M7"/>
    <x:mergeCell ref="S5:S7"/>
    <x:mergeCell ref="A8:A10"/>
    <x:mergeCell ref="H8:H10"/>
    <x:mergeCell ref="M8:M10"/>
    <x:mergeCell ref="S8:S10"/>
    <x:mergeCell ref="A11:A13"/>
    <x:mergeCell ref="H11:H13"/>
    <x:mergeCell ref="M11:M13"/>
    <x:mergeCell ref="S11:S13"/>
    <x:mergeCell ref="A14:A16"/>
    <x:mergeCell ref="H14:H16"/>
    <x:mergeCell ref="M14:M16"/>
    <x:mergeCell ref="S14:S16"/>
    <x:mergeCell ref="A17:A19"/>
    <x:mergeCell ref="H17:H19"/>
    <x:mergeCell ref="M17:M19"/>
    <x:mergeCell ref="S17:S19"/>
    <x:mergeCell ref="A20:A22"/>
    <x:mergeCell ref="H20:H22"/>
    <x:mergeCell ref="M20:M22"/>
    <x:mergeCell ref="S20:S22"/>
    <x:mergeCell ref="A23:A25"/>
    <x:mergeCell ref="H23:H25"/>
    <x:mergeCell ref="M23:M25"/>
    <x:mergeCell ref="S23:S25"/>
    <x:mergeCell ref="A26:A28"/>
    <x:mergeCell ref="H26:H28"/>
    <x:mergeCell ref="M26:M28"/>
    <x:mergeCell ref="S26:S28"/>
    <x:mergeCell ref="A29:A31"/>
    <x:mergeCell ref="H29:H31"/>
    <x:mergeCell ref="M29:M31"/>
    <x:mergeCell ref="S29:S31"/>
    <x:mergeCell ref="A32:A34"/>
    <x:mergeCell ref="H32:H34"/>
    <x:mergeCell ref="M32:M34"/>
    <x:mergeCell ref="S32:S34"/>
    <x:mergeCell ref="A35:A37"/>
    <x:mergeCell ref="H35:H37"/>
    <x:mergeCell ref="M35:M37"/>
    <x:mergeCell ref="S35:S37"/>
    <x:mergeCell ref="A38:A40"/>
    <x:mergeCell ref="H38:H40"/>
    <x:mergeCell ref="M38:M40"/>
    <x:mergeCell ref="S38:S40"/>
    <x:mergeCell ref="A41:A43"/>
    <x:mergeCell ref="H41:H43"/>
    <x:mergeCell ref="M41:M43"/>
    <x:mergeCell ref="S41:S43"/>
    <x:mergeCell ref="A44:A46"/>
    <x:mergeCell ref="H44:H46"/>
    <x:mergeCell ref="M44:M46"/>
    <x:mergeCell ref="S44:S46"/>
    <x:mergeCell ref="A47:A49"/>
    <x:mergeCell ref="H47:H49"/>
    <x:mergeCell ref="M47:M49"/>
    <x:mergeCell ref="S47:S49"/>
    <x:mergeCell ref="A50:A52"/>
    <x:mergeCell ref="H50:H52"/>
    <x:mergeCell ref="M50:M52"/>
    <x:mergeCell ref="S50:S52"/>
    <x:mergeCell ref="A53:A55"/>
    <x:mergeCell ref="H53:H55"/>
    <x:mergeCell ref="M53:M55"/>
    <x:mergeCell ref="S53:S55"/>
    <x:mergeCell ref="A56:A58"/>
    <x:mergeCell ref="H56:H58"/>
    <x:mergeCell ref="M56:M58"/>
    <x:mergeCell ref="S56:S58"/>
    <x:mergeCell ref="A59:A61"/>
    <x:mergeCell ref="H59:H61"/>
    <x:mergeCell ref="M59:M61"/>
    <x:mergeCell ref="S59:S61"/>
    <x:mergeCell ref="A62:A64"/>
    <x:mergeCell ref="H62:H64"/>
    <x:mergeCell ref="M62:M64"/>
    <x:mergeCell ref="S62:S64"/>
    <x:mergeCell ref="A65:A67"/>
    <x:mergeCell ref="H65:H67"/>
    <x:mergeCell ref="M65:M67"/>
    <x:mergeCell ref="S65:S67"/>
    <x:mergeCell ref="A68:A70"/>
    <x:mergeCell ref="H68:H70"/>
    <x:mergeCell ref="M68:M70"/>
    <x:mergeCell ref="S68:S70"/>
    <x:mergeCell ref="A71:A73"/>
    <x:mergeCell ref="H71:H73"/>
    <x:mergeCell ref="M71:M73"/>
    <x:mergeCell ref="S71:S73"/>
    <x:mergeCell ref="A74:A76"/>
    <x:mergeCell ref="H74:H76"/>
    <x:mergeCell ref="M74:M76"/>
    <x:mergeCell ref="S74:S76"/>
    <x:mergeCell ref="A77:A79"/>
    <x:mergeCell ref="H77:H79"/>
    <x:mergeCell ref="M77:M79"/>
    <x:mergeCell ref="S77:S79"/>
    <x:mergeCell ref="A80:A82"/>
    <x:mergeCell ref="H80:H82"/>
    <x:mergeCell ref="M80:M82"/>
    <x:mergeCell ref="S80:S82"/>
    <x:mergeCell ref="A83:A85"/>
    <x:mergeCell ref="H83:H85"/>
    <x:mergeCell ref="M83:M85"/>
    <x:mergeCell ref="S83:S85"/>
    <x:mergeCell ref="A86:A88"/>
    <x:mergeCell ref="H86:H88"/>
    <x:mergeCell ref="M86:M88"/>
    <x:mergeCell ref="S86:S88"/>
    <x:mergeCell ref="A89:A91"/>
    <x:mergeCell ref="H89:H91"/>
    <x:mergeCell ref="M89:M91"/>
    <x:mergeCell ref="S89:S91"/>
    <x:mergeCell ref="A92:A94"/>
    <x:mergeCell ref="H92:H94"/>
    <x:mergeCell ref="M92:M94"/>
    <x:mergeCell ref="S92:S94"/>
    <x:mergeCell ref="A95:A97"/>
    <x:mergeCell ref="H95:H97"/>
    <x:mergeCell ref="M95:M97"/>
    <x:mergeCell ref="S95:S97"/>
    <x:mergeCell ref="A98:A100"/>
    <x:mergeCell ref="H98:H100"/>
    <x:mergeCell ref="M98:M100"/>
    <x:mergeCell ref="S98:S100"/>
    <x:mergeCell ref="A101:A103"/>
    <x:mergeCell ref="H101:H103"/>
    <x:mergeCell ref="M101:M103"/>
    <x:mergeCell ref="S101:S103"/>
    <x:mergeCell ref="A104:A106"/>
    <x:mergeCell ref="H104:H106"/>
    <x:mergeCell ref="M104:M106"/>
    <x:mergeCell ref="S104:S106"/>
    <x:mergeCell ref="A107:A109"/>
    <x:mergeCell ref="H107:H109"/>
    <x:mergeCell ref="M107:M109"/>
    <x:mergeCell ref="S107:S109"/>
    <x:mergeCell ref="M110:M112"/>
    <x:mergeCell ref="S110:S112"/>
    <x:mergeCell ref="M113:M115"/>
    <x:mergeCell ref="S113:S115"/>
    <x:mergeCell ref="M116:M118"/>
    <x:mergeCell ref="S116:S118"/>
    <x:mergeCell ref="M119:M121"/>
    <x:mergeCell ref="S119:S121"/>
    <x:mergeCell ref="M122:M124"/>
    <x:mergeCell ref="S122:S124"/>
    <x:mergeCell ref="M125:M127"/>
    <x:mergeCell ref="S125:S127"/>
    <x:mergeCell ref="M128:M130"/>
    <x:mergeCell ref="S128:S130"/>
    <x:mergeCell ref="M131:M133"/>
    <x:mergeCell ref="S131:S133"/>
    <x:mergeCell ref="M134:M136"/>
    <x:mergeCell ref="S134:S136"/>
    <x:mergeCell ref="M137:M139"/>
    <x:mergeCell ref="S137:S139"/>
    <x:mergeCell ref="M140:M142"/>
    <x:mergeCell ref="S140:S142"/>
    <x:mergeCell ref="M143:M145"/>
    <x:mergeCell ref="S143:S145"/>
    <x:mergeCell ref="M146:M148"/>
    <x:mergeCell ref="S146:S148"/>
    <x:mergeCell ref="M149:M151"/>
    <x:mergeCell ref="S149:S151"/>
    <x:mergeCell ref="M152:M154"/>
    <x:mergeCell ref="S152:S154"/>
    <x:mergeCell ref="M155:M157"/>
    <x:mergeCell ref="S155:S157"/>
    <x:mergeCell ref="M158:M160"/>
    <x:mergeCell ref="S158:S160"/>
    <x:mergeCell ref="M161:M163"/>
    <x:mergeCell ref="S161:S163"/>
    <x:mergeCell ref="M164:M166"/>
    <x:mergeCell ref="S164:S166"/>
    <x:mergeCell ref="M167:M169"/>
    <x:mergeCell ref="S167:S169"/>
    <x:mergeCell ref="M170:M172"/>
    <x:mergeCell ref="S170:S172"/>
    <x:mergeCell ref="M173:M175"/>
    <x:mergeCell ref="S173:S175"/>
    <x:mergeCell ref="M176:M178"/>
    <x:mergeCell ref="S176:S178"/>
    <x:mergeCell ref="M179:M181"/>
    <x:mergeCell ref="S179:S181"/>
    <x:mergeCell ref="M182:M184"/>
    <x:mergeCell ref="S182:S184"/>
    <x:mergeCell ref="M185:M187"/>
    <x:mergeCell ref="S185:S187"/>
    <x:mergeCell ref="M188:M190"/>
    <x:mergeCell ref="S188:S190"/>
    <x:mergeCell ref="M191:M193"/>
    <x:mergeCell ref="S191:S193"/>
    <x:mergeCell ref="M194:M196"/>
    <x:mergeCell ref="S194:S196"/>
    <x:mergeCell ref="M197:M199"/>
    <x:mergeCell ref="S197:S199"/>
    <x:mergeCell ref="M200:M202"/>
    <x:mergeCell ref="S200:S202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Sheet2</vt:lpstr>
    </vt:vector>
  </ep:TitlesOfParts>
  <ep:TotalTime>123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최진숙</dc:creator>
  <cp:lastModifiedBy>CKIRUser</cp:lastModifiedBy>
  <cp:revision>37</cp:revision>
  <dcterms:created xsi:type="dcterms:W3CDTF">2026-09-24T02:11:38.643</dcterms:created>
  <dcterms:modified xsi:type="dcterms:W3CDTF">2026-09-27T12:53:19.688</dcterms:modified>
  <cp:version>1000.0100.01</cp:version>
</cp:coreProperties>
</file>